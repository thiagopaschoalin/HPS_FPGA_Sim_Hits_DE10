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acacio\Documents\CEFET-MG\Doutorado\PZC_Meetings\PZC_Tile\simulator_PZC\"/>
    </mc:Choice>
  </mc:AlternateContent>
  <bookViews>
    <workbookView xWindow="0" yWindow="0" windowWidth="20490" windowHeight="7155" activeTab="5"/>
  </bookViews>
  <sheets>
    <sheet name="3" sheetId="7" r:id="rId1"/>
    <sheet name="5" sheetId="2" r:id="rId2"/>
    <sheet name="7" sheetId="1" r:id="rId3"/>
    <sheet name="9" sheetId="6" r:id="rId4"/>
    <sheet name="11" sheetId="5" r:id="rId5"/>
    <sheet name="13" sheetId="4" r:id="rId6"/>
    <sheet name="15" sheetId="3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7" l="1"/>
  <c r="D17" i="7"/>
  <c r="C17" i="7"/>
  <c r="B17" i="7"/>
  <c r="E16" i="7"/>
  <c r="D16" i="7"/>
  <c r="C16" i="7"/>
  <c r="B16" i="7"/>
  <c r="E15" i="7"/>
  <c r="D15" i="7"/>
  <c r="C15" i="7"/>
  <c r="B15" i="7"/>
  <c r="B18" i="7" s="1"/>
  <c r="B20" i="7" s="1"/>
  <c r="E18" i="3"/>
  <c r="E20" i="3" s="1"/>
  <c r="D18" i="3"/>
  <c r="D20" i="3" s="1"/>
  <c r="C18" i="3"/>
  <c r="C20" i="3" s="1"/>
  <c r="B18" i="3"/>
  <c r="B19" i="3" s="1"/>
  <c r="E18" i="4"/>
  <c r="E20" i="4" s="1"/>
  <c r="D18" i="4"/>
  <c r="D20" i="4" s="1"/>
  <c r="B18" i="4"/>
  <c r="B19" i="4" s="1"/>
  <c r="E18" i="5"/>
  <c r="E20" i="5" s="1"/>
  <c r="D18" i="5"/>
  <c r="D20" i="5" s="1"/>
  <c r="C18" i="5"/>
  <c r="C20" i="5" s="1"/>
  <c r="B18" i="5"/>
  <c r="B19" i="5" s="1"/>
  <c r="B20" i="6"/>
  <c r="E18" i="6"/>
  <c r="E20" i="6" s="1"/>
  <c r="D18" i="6"/>
  <c r="D20" i="6" s="1"/>
  <c r="C18" i="6"/>
  <c r="C20" i="6" s="1"/>
  <c r="B18" i="6"/>
  <c r="B19" i="6" s="1"/>
  <c r="E18" i="1"/>
  <c r="E20" i="1" s="1"/>
  <c r="D18" i="1"/>
  <c r="D20" i="1" s="1"/>
  <c r="C18" i="1"/>
  <c r="C20" i="1" s="1"/>
  <c r="B18" i="1"/>
  <c r="B19" i="1" s="1"/>
  <c r="E18" i="2"/>
  <c r="E20" i="2" s="1"/>
  <c r="D18" i="2"/>
  <c r="D20" i="2" s="1"/>
  <c r="C18" i="2"/>
  <c r="C19" i="2" s="1"/>
  <c r="B18" i="2"/>
  <c r="B19" i="2" s="1"/>
  <c r="B19" i="7" l="1"/>
  <c r="D18" i="7"/>
  <c r="D20" i="7" s="1"/>
  <c r="C18" i="7"/>
  <c r="C20" i="7" s="1"/>
  <c r="E18" i="7"/>
  <c r="E20" i="7" s="1"/>
  <c r="B20" i="3"/>
  <c r="C19" i="3"/>
  <c r="D19" i="3"/>
  <c r="E19" i="3"/>
  <c r="B20" i="4"/>
  <c r="D19" i="4"/>
  <c r="E19" i="4"/>
  <c r="B20" i="5"/>
  <c r="C19" i="5"/>
  <c r="D19" i="5"/>
  <c r="E19" i="5"/>
  <c r="C19" i="6"/>
  <c r="D19" i="6"/>
  <c r="E19" i="6"/>
  <c r="B20" i="1"/>
  <c r="C19" i="1"/>
  <c r="D19" i="1"/>
  <c r="E19" i="1"/>
  <c r="C20" i="2"/>
  <c r="B20" i="2"/>
  <c r="D19" i="2"/>
  <c r="E19" i="2"/>
  <c r="E17" i="6"/>
  <c r="D17" i="6"/>
  <c r="C17" i="6"/>
  <c r="B17" i="6"/>
  <c r="E16" i="6"/>
  <c r="D16" i="6"/>
  <c r="C16" i="6"/>
  <c r="B16" i="6"/>
  <c r="E15" i="6"/>
  <c r="D15" i="6"/>
  <c r="C15" i="6"/>
  <c r="B15" i="6"/>
  <c r="E17" i="5"/>
  <c r="D17" i="5"/>
  <c r="C17" i="5"/>
  <c r="B17" i="5"/>
  <c r="E16" i="5"/>
  <c r="D16" i="5"/>
  <c r="C16" i="5"/>
  <c r="B16" i="5"/>
  <c r="E15" i="5"/>
  <c r="D15" i="5"/>
  <c r="C15" i="5"/>
  <c r="B15" i="5"/>
  <c r="E17" i="4"/>
  <c r="D17" i="4"/>
  <c r="C17" i="4"/>
  <c r="B17" i="4"/>
  <c r="E16" i="4"/>
  <c r="D16" i="4"/>
  <c r="C16" i="4"/>
  <c r="B16" i="4"/>
  <c r="E15" i="4"/>
  <c r="D15" i="4"/>
  <c r="C15" i="4"/>
  <c r="C18" i="4" s="1"/>
  <c r="C20" i="4" s="1"/>
  <c r="B15" i="4"/>
  <c r="E17" i="3"/>
  <c r="D17" i="3"/>
  <c r="C17" i="3"/>
  <c r="B17" i="3"/>
  <c r="E16" i="3"/>
  <c r="D16" i="3"/>
  <c r="C16" i="3"/>
  <c r="B16" i="3"/>
  <c r="E15" i="3"/>
  <c r="D15" i="3"/>
  <c r="C15" i="3"/>
  <c r="B15" i="3"/>
  <c r="C19" i="4" l="1"/>
  <c r="C19" i="7"/>
  <c r="E19" i="7"/>
  <c r="D19" i="7"/>
  <c r="E17" i="2"/>
  <c r="D17" i="2"/>
  <c r="C17" i="2"/>
  <c r="B17" i="2"/>
  <c r="E16" i="2"/>
  <c r="D16" i="2"/>
  <c r="C16" i="2"/>
  <c r="B16" i="2"/>
  <c r="E15" i="2"/>
  <c r="D15" i="2"/>
  <c r="C15" i="2"/>
  <c r="B15" i="2"/>
  <c r="C17" i="1"/>
  <c r="D17" i="1"/>
  <c r="E17" i="1"/>
  <c r="C16" i="1"/>
  <c r="D16" i="1"/>
  <c r="E16" i="1"/>
  <c r="C15" i="1"/>
  <c r="D15" i="1"/>
  <c r="E15" i="1"/>
  <c r="B17" i="1"/>
  <c r="B16" i="1"/>
  <c r="B15" i="1"/>
</calcChain>
</file>

<file path=xl/sharedStrings.xml><?xml version="1.0" encoding="utf-8"?>
<sst xmlns="http://schemas.openxmlformats.org/spreadsheetml/2006/main" count="91" uniqueCount="17">
  <si>
    <t>STD</t>
  </si>
  <si>
    <t>RMSE</t>
  </si>
  <si>
    <t>WIENER</t>
  </si>
  <si>
    <t>PZC + WIENER</t>
  </si>
  <si>
    <t>PESO 7</t>
  </si>
  <si>
    <t>MAX</t>
  </si>
  <si>
    <t>MIN</t>
  </si>
  <si>
    <t>MEDIA</t>
  </si>
  <si>
    <t>PESO 5</t>
  </si>
  <si>
    <t>PESO 15</t>
  </si>
  <si>
    <t>PESO 13</t>
  </si>
  <si>
    <t>PESO 11</t>
  </si>
  <si>
    <t>PESO 9</t>
  </si>
  <si>
    <t>MEIO</t>
  </si>
  <si>
    <t>DIF MAX</t>
  </si>
  <si>
    <t>DIF MIN</t>
  </si>
  <si>
    <t>PESO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</si>
</sst>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16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17.52</v>
      </c>
      <c r="C4">
        <v>119.3</v>
      </c>
      <c r="D4">
        <v>14.61</v>
      </c>
      <c r="E4">
        <v>14.61</v>
      </c>
    </row>
    <row r="5" spans="1:5" x14ac:dyDescent="0.25">
      <c r="B5">
        <v>17.88</v>
      </c>
      <c r="C5">
        <v>121.25</v>
      </c>
      <c r="D5">
        <v>14.77</v>
      </c>
      <c r="E5">
        <v>14.8</v>
      </c>
    </row>
    <row r="6" spans="1:5" x14ac:dyDescent="0.25">
      <c r="B6">
        <v>18</v>
      </c>
      <c r="C6">
        <v>119.75</v>
      </c>
      <c r="D6">
        <v>14.67</v>
      </c>
      <c r="E6">
        <v>14.72</v>
      </c>
    </row>
    <row r="7" spans="1:5" x14ac:dyDescent="0.25">
      <c r="B7">
        <v>17.82</v>
      </c>
      <c r="C7">
        <v>120.51</v>
      </c>
      <c r="D7">
        <v>14.73</v>
      </c>
      <c r="E7">
        <v>14.74</v>
      </c>
    </row>
    <row r="8" spans="1:5" x14ac:dyDescent="0.25">
      <c r="B8">
        <v>17.920000000000002</v>
      </c>
      <c r="C8">
        <v>119.27</v>
      </c>
      <c r="D8">
        <v>14.69</v>
      </c>
      <c r="E8">
        <v>14.7</v>
      </c>
    </row>
    <row r="9" spans="1:5" x14ac:dyDescent="0.25">
      <c r="B9">
        <v>18.05</v>
      </c>
      <c r="C9">
        <v>120.85</v>
      </c>
      <c r="D9">
        <v>14.85</v>
      </c>
      <c r="E9">
        <v>14.86</v>
      </c>
    </row>
    <row r="10" spans="1:5" x14ac:dyDescent="0.25">
      <c r="B10">
        <v>18.350000000000001</v>
      </c>
      <c r="C10">
        <v>122.86</v>
      </c>
      <c r="D10">
        <v>15.01</v>
      </c>
      <c r="E10">
        <v>15.01</v>
      </c>
    </row>
    <row r="11" spans="1:5" x14ac:dyDescent="0.25">
      <c r="B11">
        <v>17.84</v>
      </c>
      <c r="C11">
        <v>120.01</v>
      </c>
      <c r="D11">
        <v>14.78</v>
      </c>
      <c r="E11">
        <v>14.83</v>
      </c>
    </row>
    <row r="12" spans="1:5" x14ac:dyDescent="0.25">
      <c r="B12">
        <v>17.84</v>
      </c>
      <c r="C12">
        <v>120.34</v>
      </c>
      <c r="D12">
        <v>14.71</v>
      </c>
      <c r="E12">
        <v>14.74</v>
      </c>
    </row>
    <row r="13" spans="1:5" x14ac:dyDescent="0.25">
      <c r="B13">
        <v>17.28</v>
      </c>
      <c r="C13">
        <v>117.74</v>
      </c>
      <c r="D13">
        <v>14.38</v>
      </c>
      <c r="E13">
        <v>14.39</v>
      </c>
    </row>
    <row r="15" spans="1:5" x14ac:dyDescent="0.25">
      <c r="A15" t="s">
        <v>5</v>
      </c>
      <c r="B15">
        <f>LARGE(B4:B13,1)</f>
        <v>18.350000000000001</v>
      </c>
      <c r="C15">
        <f>LARGE(C4:C13,1)</f>
        <v>122.86</v>
      </c>
      <c r="D15">
        <f>LARGE(D4:D13,1)</f>
        <v>15.01</v>
      </c>
      <c r="E15">
        <f>LARGE(E4:E13,1)</f>
        <v>15.01</v>
      </c>
    </row>
    <row r="16" spans="1:5" x14ac:dyDescent="0.25">
      <c r="A16" t="s">
        <v>6</v>
      </c>
      <c r="B16">
        <f>SMALL(B4:B13,1)</f>
        <v>17.28</v>
      </c>
      <c r="C16">
        <f>SMALL(C4:C13,1)</f>
        <v>117.74</v>
      </c>
      <c r="D16">
        <f>SMALL(D4:D13,1)</f>
        <v>14.38</v>
      </c>
      <c r="E16">
        <f>SMALL(E4:E13,1)</f>
        <v>14.39</v>
      </c>
    </row>
    <row r="17" spans="1:5" x14ac:dyDescent="0.25">
      <c r="A17" t="s">
        <v>7</v>
      </c>
      <c r="B17">
        <f>AVERAGE(B4:B13)</f>
        <v>17.850000000000001</v>
      </c>
      <c r="C17">
        <f>AVERAGE(C4:C13)</f>
        <v>120.18800000000002</v>
      </c>
      <c r="D17">
        <f>AVERAGE(D4:D13)</f>
        <v>14.719999999999999</v>
      </c>
      <c r="E17">
        <f>AVERAGE(E4:E13)</f>
        <v>14.740000000000004</v>
      </c>
    </row>
    <row r="18" spans="1:5" x14ac:dyDescent="0.25">
      <c r="A18" t="s">
        <v>13</v>
      </c>
      <c r="B18" s="2">
        <f>AVERAGE(B15:B16)</f>
        <v>17.815000000000001</v>
      </c>
      <c r="C18" s="2">
        <f t="shared" ref="C18:E18" si="0">AVERAGE(C15:C16)</f>
        <v>120.3</v>
      </c>
      <c r="D18" s="2">
        <f t="shared" si="0"/>
        <v>14.695</v>
      </c>
      <c r="E18" s="2">
        <f t="shared" si="0"/>
        <v>14.7</v>
      </c>
    </row>
    <row r="19" spans="1:5" x14ac:dyDescent="0.25">
      <c r="A19" t="s">
        <v>14</v>
      </c>
      <c r="B19" s="2">
        <f>B15-B18</f>
        <v>0.53500000000000014</v>
      </c>
      <c r="C19" s="2">
        <f t="shared" ref="C19:E19" si="1">C15-C18</f>
        <v>2.5600000000000023</v>
      </c>
      <c r="D19" s="2">
        <f t="shared" si="1"/>
        <v>0.3149999999999995</v>
      </c>
      <c r="E19" s="2">
        <f t="shared" si="1"/>
        <v>0.3100000000000005</v>
      </c>
    </row>
    <row r="20" spans="1:5" x14ac:dyDescent="0.25">
      <c r="A20" t="s">
        <v>15</v>
      </c>
      <c r="B20" s="2">
        <f>B18-B16</f>
        <v>0.53500000000000014</v>
      </c>
      <c r="C20" s="2">
        <f t="shared" ref="C20:E20" si="2">C18-C16</f>
        <v>2.5600000000000023</v>
      </c>
      <c r="D20" s="2">
        <f t="shared" si="2"/>
        <v>0.3149999999999995</v>
      </c>
      <c r="E20" s="2">
        <f t="shared" si="2"/>
        <v>0.30999999999999872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8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13.82</v>
      </c>
      <c r="C4">
        <v>118.85</v>
      </c>
      <c r="D4">
        <v>10.59</v>
      </c>
      <c r="E4">
        <v>10.91</v>
      </c>
    </row>
    <row r="5" spans="1:5" x14ac:dyDescent="0.25">
      <c r="B5">
        <v>14.07</v>
      </c>
      <c r="C5">
        <v>120.78</v>
      </c>
      <c r="D5">
        <v>10.53</v>
      </c>
      <c r="E5">
        <v>11.02</v>
      </c>
    </row>
    <row r="6" spans="1:5" x14ac:dyDescent="0.25">
      <c r="B6">
        <v>14.31</v>
      </c>
      <c r="C6">
        <v>119.29</v>
      </c>
      <c r="D6">
        <v>10.49</v>
      </c>
      <c r="E6">
        <v>11.08</v>
      </c>
    </row>
    <row r="7" spans="1:5" x14ac:dyDescent="0.25">
      <c r="B7">
        <v>14.06</v>
      </c>
      <c r="C7">
        <v>120.04</v>
      </c>
      <c r="D7">
        <v>10.53</v>
      </c>
      <c r="E7">
        <v>10.92</v>
      </c>
    </row>
    <row r="8" spans="1:5" x14ac:dyDescent="0.25">
      <c r="B8">
        <v>14.24</v>
      </c>
      <c r="C8">
        <v>118.8</v>
      </c>
      <c r="D8">
        <v>10.6</v>
      </c>
      <c r="E8">
        <v>10.95</v>
      </c>
    </row>
    <row r="9" spans="1:5" x14ac:dyDescent="0.25">
      <c r="B9">
        <v>14.25</v>
      </c>
      <c r="C9">
        <v>120.37</v>
      </c>
      <c r="D9">
        <v>10.57</v>
      </c>
      <c r="E9">
        <v>10.91</v>
      </c>
    </row>
    <row r="10" spans="1:5" x14ac:dyDescent="0.25">
      <c r="B10">
        <v>14.51</v>
      </c>
      <c r="C10">
        <v>122.39</v>
      </c>
      <c r="D10">
        <v>10.69</v>
      </c>
      <c r="E10">
        <v>10.93</v>
      </c>
    </row>
    <row r="11" spans="1:5" x14ac:dyDescent="0.25">
      <c r="B11">
        <v>13.99</v>
      </c>
      <c r="C11">
        <v>119.53</v>
      </c>
      <c r="D11">
        <v>10.47</v>
      </c>
      <c r="E11">
        <v>11.07</v>
      </c>
    </row>
    <row r="12" spans="1:5" x14ac:dyDescent="0.25">
      <c r="B12">
        <v>14.15</v>
      </c>
      <c r="C12">
        <v>119.88</v>
      </c>
      <c r="D12">
        <v>10.6</v>
      </c>
      <c r="E12">
        <v>11.09</v>
      </c>
    </row>
    <row r="13" spans="1:5" x14ac:dyDescent="0.25">
      <c r="B13">
        <v>13.71</v>
      </c>
      <c r="C13">
        <v>117.3</v>
      </c>
      <c r="D13">
        <v>10.43</v>
      </c>
      <c r="E13">
        <v>10.84</v>
      </c>
    </row>
    <row r="15" spans="1:5" x14ac:dyDescent="0.25">
      <c r="A15" t="s">
        <v>5</v>
      </c>
      <c r="B15">
        <f>LARGE(B4:B13,1)</f>
        <v>14.51</v>
      </c>
      <c r="C15">
        <f>LARGE(C4:C13,1)</f>
        <v>122.39</v>
      </c>
      <c r="D15">
        <f>LARGE(D4:D13,1)</f>
        <v>10.69</v>
      </c>
      <c r="E15">
        <f>LARGE(E4:E13,1)</f>
        <v>11.09</v>
      </c>
    </row>
    <row r="16" spans="1:5" x14ac:dyDescent="0.25">
      <c r="A16" t="s">
        <v>6</v>
      </c>
      <c r="B16">
        <f>SMALL(B4:B13,1)</f>
        <v>13.71</v>
      </c>
      <c r="C16">
        <f>SMALL(C4:C13,1)</f>
        <v>117.3</v>
      </c>
      <c r="D16">
        <f>SMALL(D4:D13,1)</f>
        <v>10.43</v>
      </c>
      <c r="E16">
        <f>SMALL(E4:E13,1)</f>
        <v>10.84</v>
      </c>
    </row>
    <row r="17" spans="1:5" x14ac:dyDescent="0.25">
      <c r="A17" t="s">
        <v>7</v>
      </c>
      <c r="B17">
        <f>AVERAGE(B4:B13)</f>
        <v>14.111000000000001</v>
      </c>
      <c r="C17">
        <f>AVERAGE(C4:C13)</f>
        <v>119.72299999999998</v>
      </c>
      <c r="D17">
        <f>AVERAGE(D4:D13)</f>
        <v>10.55</v>
      </c>
      <c r="E17">
        <f>AVERAGE(E4:E13)</f>
        <v>10.972</v>
      </c>
    </row>
    <row r="18" spans="1:5" x14ac:dyDescent="0.25">
      <c r="A18" t="s">
        <v>13</v>
      </c>
      <c r="B18" s="2">
        <f>AVERAGE(B15:B16)</f>
        <v>14.11</v>
      </c>
      <c r="C18" s="2">
        <f t="shared" ref="C18:E18" si="0">AVERAGE(C15:C16)</f>
        <v>119.845</v>
      </c>
      <c r="D18" s="2">
        <f t="shared" si="0"/>
        <v>10.559999999999999</v>
      </c>
      <c r="E18" s="2">
        <f t="shared" si="0"/>
        <v>10.965</v>
      </c>
    </row>
    <row r="19" spans="1:5" x14ac:dyDescent="0.25">
      <c r="A19" t="s">
        <v>14</v>
      </c>
      <c r="B19" s="2">
        <f>B15-B18</f>
        <v>0.40000000000000036</v>
      </c>
      <c r="C19" s="2">
        <f t="shared" ref="C19:E19" si="1">C15-C18</f>
        <v>2.5450000000000017</v>
      </c>
      <c r="D19" s="2">
        <f t="shared" si="1"/>
        <v>0.13000000000000078</v>
      </c>
      <c r="E19" s="2">
        <f t="shared" si="1"/>
        <v>0.125</v>
      </c>
    </row>
    <row r="20" spans="1:5" x14ac:dyDescent="0.25">
      <c r="A20" t="s">
        <v>15</v>
      </c>
      <c r="B20" s="2">
        <f>B18-B16</f>
        <v>0.39999999999999858</v>
      </c>
      <c r="C20" s="2">
        <f t="shared" ref="C20:E20" si="2">C18-C16</f>
        <v>2.5450000000000017</v>
      </c>
      <c r="D20" s="2">
        <f t="shared" si="2"/>
        <v>0.12999999999999901</v>
      </c>
      <c r="E20" s="2">
        <f t="shared" si="2"/>
        <v>0.125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4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13.46</v>
      </c>
      <c r="C4">
        <v>118.8</v>
      </c>
      <c r="D4">
        <v>9.8000000000000007</v>
      </c>
      <c r="E4">
        <v>9.9600000000000009</v>
      </c>
    </row>
    <row r="5" spans="1:5" x14ac:dyDescent="0.25">
      <c r="B5">
        <v>13.73</v>
      </c>
      <c r="C5">
        <v>120.73</v>
      </c>
      <c r="D5">
        <v>9.76</v>
      </c>
      <c r="E5">
        <v>10.050000000000001</v>
      </c>
    </row>
    <row r="6" spans="1:5" x14ac:dyDescent="0.25">
      <c r="B6">
        <v>13.98</v>
      </c>
      <c r="C6">
        <v>119.24</v>
      </c>
      <c r="D6">
        <v>9.7200000000000006</v>
      </c>
      <c r="E6">
        <v>10.11</v>
      </c>
    </row>
    <row r="7" spans="1:5" x14ac:dyDescent="0.25">
      <c r="B7">
        <v>13.7</v>
      </c>
      <c r="C7">
        <v>119.99</v>
      </c>
      <c r="D7">
        <v>9.7100000000000009</v>
      </c>
      <c r="E7">
        <v>9.93</v>
      </c>
    </row>
    <row r="8" spans="1:5" x14ac:dyDescent="0.25">
      <c r="B8">
        <v>13.89</v>
      </c>
      <c r="C8">
        <v>118.75</v>
      </c>
      <c r="D8">
        <v>9.7899999999999991</v>
      </c>
      <c r="E8">
        <v>9.98</v>
      </c>
    </row>
    <row r="9" spans="1:5" x14ac:dyDescent="0.25">
      <c r="B9">
        <v>13.9</v>
      </c>
      <c r="C9">
        <v>120.32</v>
      </c>
      <c r="D9">
        <v>9.77</v>
      </c>
      <c r="E9">
        <v>9.9499999999999993</v>
      </c>
    </row>
    <row r="10" spans="1:5" x14ac:dyDescent="0.25">
      <c r="B10">
        <v>14.14</v>
      </c>
      <c r="C10">
        <v>122.33</v>
      </c>
      <c r="D10">
        <v>9.84</v>
      </c>
      <c r="E10">
        <v>9.9499999999999993</v>
      </c>
    </row>
    <row r="11" spans="1:5" x14ac:dyDescent="0.25">
      <c r="B11">
        <v>13.63</v>
      </c>
      <c r="C11">
        <v>119.48</v>
      </c>
      <c r="D11">
        <v>9.67</v>
      </c>
      <c r="E11">
        <v>10.050000000000001</v>
      </c>
    </row>
    <row r="12" spans="1:5" x14ac:dyDescent="0.25">
      <c r="B12">
        <v>13.83</v>
      </c>
      <c r="C12">
        <v>119.83</v>
      </c>
      <c r="D12">
        <v>9.84</v>
      </c>
      <c r="E12">
        <v>10.14</v>
      </c>
    </row>
    <row r="13" spans="1:5" x14ac:dyDescent="0.25">
      <c r="B13">
        <v>13.36</v>
      </c>
      <c r="C13">
        <v>117.24</v>
      </c>
      <c r="D13">
        <v>9.69</v>
      </c>
      <c r="E13">
        <v>9.92</v>
      </c>
    </row>
    <row r="15" spans="1:5" x14ac:dyDescent="0.25">
      <c r="A15" t="s">
        <v>5</v>
      </c>
      <c r="B15">
        <f>LARGE(B4:B13,1)</f>
        <v>14.14</v>
      </c>
      <c r="C15">
        <f>LARGE(C4:C13,1)</f>
        <v>122.33</v>
      </c>
      <c r="D15">
        <f>LARGE(D4:D13,1)</f>
        <v>9.84</v>
      </c>
      <c r="E15">
        <f>LARGE(E4:E13,1)</f>
        <v>10.14</v>
      </c>
    </row>
    <row r="16" spans="1:5" x14ac:dyDescent="0.25">
      <c r="A16" t="s">
        <v>6</v>
      </c>
      <c r="B16">
        <f>SMALL(B4:B13,1)</f>
        <v>13.36</v>
      </c>
      <c r="C16">
        <f>SMALL(C4:C13,1)</f>
        <v>117.24</v>
      </c>
      <c r="D16">
        <f>SMALL(D4:D13,1)</f>
        <v>9.67</v>
      </c>
      <c r="E16">
        <f>SMALL(E4:E13,1)</f>
        <v>9.92</v>
      </c>
    </row>
    <row r="17" spans="1:5" x14ac:dyDescent="0.25">
      <c r="A17" t="s">
        <v>7</v>
      </c>
      <c r="B17">
        <f>AVERAGE(B4:B13)</f>
        <v>13.762</v>
      </c>
      <c r="C17">
        <f>AVERAGE(C4:C13)</f>
        <v>119.67100000000001</v>
      </c>
      <c r="D17">
        <f>AVERAGE(D4:D13)</f>
        <v>9.7590000000000003</v>
      </c>
      <c r="E17">
        <f>AVERAGE(E4:E13)</f>
        <v>10.004000000000001</v>
      </c>
    </row>
    <row r="18" spans="1:5" x14ac:dyDescent="0.25">
      <c r="A18" t="s">
        <v>13</v>
      </c>
      <c r="B18" s="2">
        <f>AVERAGE(B15:B16)</f>
        <v>13.75</v>
      </c>
      <c r="C18" s="2">
        <f t="shared" ref="C18:E18" si="0">AVERAGE(C15:C16)</f>
        <v>119.785</v>
      </c>
      <c r="D18" s="2">
        <f t="shared" si="0"/>
        <v>9.754999999999999</v>
      </c>
      <c r="E18" s="2">
        <f t="shared" si="0"/>
        <v>10.030000000000001</v>
      </c>
    </row>
    <row r="19" spans="1:5" x14ac:dyDescent="0.25">
      <c r="A19" t="s">
        <v>14</v>
      </c>
      <c r="B19" s="2">
        <f>B15-B18</f>
        <v>0.39000000000000057</v>
      </c>
      <c r="C19" s="2">
        <f t="shared" ref="C19:E19" si="1">C15-C18</f>
        <v>2.5450000000000017</v>
      </c>
      <c r="D19" s="2">
        <f t="shared" si="1"/>
        <v>8.5000000000000853E-2</v>
      </c>
      <c r="E19" s="2">
        <f t="shared" si="1"/>
        <v>0.10999999999999943</v>
      </c>
    </row>
    <row r="20" spans="1:5" x14ac:dyDescent="0.25">
      <c r="A20" t="s">
        <v>15</v>
      </c>
      <c r="B20" s="2">
        <f>B18-B16</f>
        <v>0.39000000000000057</v>
      </c>
      <c r="C20" s="2">
        <f t="shared" ref="C20:E20" si="2">C18-C16</f>
        <v>2.5450000000000017</v>
      </c>
      <c r="D20" s="2">
        <f t="shared" si="2"/>
        <v>8.4999999999999076E-2</v>
      </c>
      <c r="E20" s="2">
        <f t="shared" si="2"/>
        <v>0.11000000000000121</v>
      </c>
    </row>
  </sheetData>
  <mergeCells count="3">
    <mergeCell ref="B2:C2"/>
    <mergeCell ref="D2:E2"/>
    <mergeCell ref="B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12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13.4</v>
      </c>
      <c r="C4">
        <v>118.79</v>
      </c>
      <c r="D4">
        <v>9.57</v>
      </c>
      <c r="E4">
        <v>9.67</v>
      </c>
    </row>
    <row r="5" spans="1:5" x14ac:dyDescent="0.25">
      <c r="B5">
        <v>13.67</v>
      </c>
      <c r="C5">
        <v>120.72</v>
      </c>
      <c r="D5">
        <v>9.5399999999999991</v>
      </c>
      <c r="E5">
        <v>9.75</v>
      </c>
    </row>
    <row r="6" spans="1:5" x14ac:dyDescent="0.25">
      <c r="B6">
        <v>13.93</v>
      </c>
      <c r="C6">
        <v>119.23</v>
      </c>
      <c r="D6">
        <v>9.5</v>
      </c>
      <c r="E6">
        <v>9.81</v>
      </c>
    </row>
    <row r="7" spans="1:5" x14ac:dyDescent="0.25">
      <c r="B7">
        <v>13.64</v>
      </c>
      <c r="C7">
        <v>119.98</v>
      </c>
      <c r="D7">
        <v>9.5</v>
      </c>
      <c r="E7">
        <v>9.65</v>
      </c>
    </row>
    <row r="8" spans="1:5" x14ac:dyDescent="0.25">
      <c r="B8">
        <v>13.83</v>
      </c>
      <c r="C8">
        <v>118.74</v>
      </c>
      <c r="D8">
        <v>9.57</v>
      </c>
      <c r="E8">
        <v>9.6999999999999993</v>
      </c>
    </row>
    <row r="9" spans="1:5" x14ac:dyDescent="0.25">
      <c r="B9">
        <v>13.84</v>
      </c>
      <c r="C9">
        <v>120.31</v>
      </c>
      <c r="D9">
        <v>9.5399999999999991</v>
      </c>
      <c r="E9">
        <v>9.66</v>
      </c>
    </row>
    <row r="10" spans="1:5" x14ac:dyDescent="0.25">
      <c r="B10">
        <v>14.08</v>
      </c>
      <c r="C10">
        <v>122.32</v>
      </c>
      <c r="D10">
        <v>9.61</v>
      </c>
      <c r="E10">
        <v>9.68</v>
      </c>
    </row>
    <row r="11" spans="1:5" x14ac:dyDescent="0.25">
      <c r="B11">
        <v>13.57</v>
      </c>
      <c r="C11">
        <v>119.47</v>
      </c>
      <c r="D11">
        <v>9.44</v>
      </c>
      <c r="E11">
        <v>9.74</v>
      </c>
    </row>
    <row r="12" spans="1:5" x14ac:dyDescent="0.25">
      <c r="B12">
        <v>13.76</v>
      </c>
      <c r="C12">
        <v>119.82</v>
      </c>
      <c r="D12">
        <v>9.61</v>
      </c>
      <c r="E12">
        <v>9.83</v>
      </c>
    </row>
    <row r="13" spans="1:5" x14ac:dyDescent="0.25">
      <c r="B13">
        <v>13.3</v>
      </c>
      <c r="C13">
        <v>117.24</v>
      </c>
      <c r="D13">
        <v>9.4600000000000009</v>
      </c>
      <c r="E13">
        <v>9.64</v>
      </c>
    </row>
    <row r="15" spans="1:5" x14ac:dyDescent="0.25">
      <c r="A15" t="s">
        <v>5</v>
      </c>
      <c r="B15">
        <f>LARGE(B4:B13,1)</f>
        <v>14.08</v>
      </c>
      <c r="C15">
        <f>LARGE(C4:C13,1)</f>
        <v>122.32</v>
      </c>
      <c r="D15">
        <f>LARGE(D4:D13,1)</f>
        <v>9.61</v>
      </c>
      <c r="E15">
        <f>LARGE(E4:E13,1)</f>
        <v>9.83</v>
      </c>
    </row>
    <row r="16" spans="1:5" x14ac:dyDescent="0.25">
      <c r="A16" t="s">
        <v>6</v>
      </c>
      <c r="B16">
        <f>SMALL(B4:B13,1)</f>
        <v>13.3</v>
      </c>
      <c r="C16">
        <f>SMALL(C4:C13,1)</f>
        <v>117.24</v>
      </c>
      <c r="D16">
        <f>SMALL(D4:D13,1)</f>
        <v>9.44</v>
      </c>
      <c r="E16">
        <f>SMALL(E4:E13,1)</f>
        <v>9.64</v>
      </c>
    </row>
    <row r="17" spans="1:5" x14ac:dyDescent="0.25">
      <c r="A17" t="s">
        <v>7</v>
      </c>
      <c r="B17">
        <f>AVERAGE(B4:B13)</f>
        <v>13.702000000000002</v>
      </c>
      <c r="C17">
        <f>AVERAGE(C4:C13)</f>
        <v>119.66199999999999</v>
      </c>
      <c r="D17">
        <f>AVERAGE(D4:D13)</f>
        <v>9.5340000000000007</v>
      </c>
      <c r="E17">
        <f>AVERAGE(E4:E13)</f>
        <v>9.7129999999999974</v>
      </c>
    </row>
    <row r="18" spans="1:5" x14ac:dyDescent="0.25">
      <c r="A18" t="s">
        <v>13</v>
      </c>
      <c r="B18" s="2">
        <f>AVERAGE(B15:B16)</f>
        <v>13.690000000000001</v>
      </c>
      <c r="C18" s="2">
        <f t="shared" ref="C18:E18" si="0">AVERAGE(C15:C16)</f>
        <v>119.78</v>
      </c>
      <c r="D18" s="2">
        <f t="shared" si="0"/>
        <v>9.5249999999999986</v>
      </c>
      <c r="E18" s="2">
        <f t="shared" si="0"/>
        <v>9.7349999999999994</v>
      </c>
    </row>
    <row r="19" spans="1:5" x14ac:dyDescent="0.25">
      <c r="A19" t="s">
        <v>14</v>
      </c>
      <c r="B19" s="2">
        <f>B15-B18</f>
        <v>0.38999999999999879</v>
      </c>
      <c r="C19" s="2">
        <f t="shared" ref="C19:E19" si="1">C15-C18</f>
        <v>2.539999999999992</v>
      </c>
      <c r="D19" s="2">
        <f t="shared" si="1"/>
        <v>8.5000000000000853E-2</v>
      </c>
      <c r="E19" s="2">
        <f t="shared" si="1"/>
        <v>9.5000000000000639E-2</v>
      </c>
    </row>
    <row r="20" spans="1:5" x14ac:dyDescent="0.25">
      <c r="A20" t="s">
        <v>15</v>
      </c>
      <c r="B20" s="2">
        <f>B18-B16</f>
        <v>0.39000000000000057</v>
      </c>
      <c r="C20" s="2">
        <f t="shared" ref="C20:E20" si="2">C18-C16</f>
        <v>2.5400000000000063</v>
      </c>
      <c r="D20" s="2">
        <f t="shared" si="2"/>
        <v>8.4999999999999076E-2</v>
      </c>
      <c r="E20" s="2">
        <f t="shared" si="2"/>
        <v>9.4999999999998863E-2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11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13.38</v>
      </c>
      <c r="C4">
        <v>118.78</v>
      </c>
      <c r="D4">
        <v>9.44</v>
      </c>
      <c r="E4">
        <v>9.51</v>
      </c>
    </row>
    <row r="5" spans="1:5" x14ac:dyDescent="0.25">
      <c r="B5">
        <v>13.64</v>
      </c>
      <c r="C5">
        <v>120.71</v>
      </c>
      <c r="D5">
        <v>9.39</v>
      </c>
      <c r="E5">
        <v>9.56</v>
      </c>
    </row>
    <row r="6" spans="1:5" x14ac:dyDescent="0.25">
      <c r="B6">
        <v>13.89</v>
      </c>
      <c r="C6">
        <v>119.22</v>
      </c>
      <c r="D6">
        <v>9.36</v>
      </c>
      <c r="E6">
        <v>9.61</v>
      </c>
    </row>
    <row r="7" spans="1:5" x14ac:dyDescent="0.25">
      <c r="B7">
        <v>13.61</v>
      </c>
      <c r="C7">
        <v>119.97</v>
      </c>
      <c r="D7">
        <v>9.3699999999999992</v>
      </c>
      <c r="E7">
        <v>9.48</v>
      </c>
    </row>
    <row r="8" spans="1:5" x14ac:dyDescent="0.25">
      <c r="B8">
        <v>13.8</v>
      </c>
      <c r="C8">
        <v>118.73</v>
      </c>
      <c r="D8">
        <v>9.43</v>
      </c>
      <c r="E8">
        <v>9.5299999999999994</v>
      </c>
    </row>
    <row r="9" spans="1:5" x14ac:dyDescent="0.25">
      <c r="B9">
        <v>13.82</v>
      </c>
      <c r="C9">
        <v>120.3</v>
      </c>
      <c r="D9">
        <v>9.41</v>
      </c>
      <c r="E9">
        <v>9.5</v>
      </c>
    </row>
    <row r="10" spans="1:5" x14ac:dyDescent="0.25">
      <c r="B10">
        <v>14.06</v>
      </c>
      <c r="C10">
        <v>122.32</v>
      </c>
      <c r="D10">
        <v>9.4700000000000006</v>
      </c>
      <c r="E10">
        <v>9.51</v>
      </c>
    </row>
    <row r="11" spans="1:5" x14ac:dyDescent="0.25">
      <c r="B11">
        <v>13.55</v>
      </c>
      <c r="C11">
        <v>119.46</v>
      </c>
      <c r="D11">
        <v>9.32</v>
      </c>
      <c r="E11">
        <v>9.57</v>
      </c>
    </row>
    <row r="12" spans="1:5" x14ac:dyDescent="0.25">
      <c r="B12">
        <v>13.74</v>
      </c>
      <c r="C12">
        <v>119.81</v>
      </c>
      <c r="D12">
        <v>9.4700000000000006</v>
      </c>
      <c r="E12">
        <v>9.65</v>
      </c>
    </row>
    <row r="13" spans="1:5" x14ac:dyDescent="0.25">
      <c r="B13">
        <v>13.26</v>
      </c>
      <c r="C13">
        <v>117.23</v>
      </c>
      <c r="D13">
        <v>9.34</v>
      </c>
      <c r="E13">
        <v>9.48</v>
      </c>
    </row>
    <row r="15" spans="1:5" x14ac:dyDescent="0.25">
      <c r="A15" t="s">
        <v>5</v>
      </c>
      <c r="B15">
        <f>LARGE(B4:B13,1)</f>
        <v>14.06</v>
      </c>
      <c r="C15">
        <f>LARGE(C4:C13,1)</f>
        <v>122.32</v>
      </c>
      <c r="D15">
        <f>LARGE(D4:D13,1)</f>
        <v>9.4700000000000006</v>
      </c>
      <c r="E15">
        <f>LARGE(E4:E13,1)</f>
        <v>9.65</v>
      </c>
    </row>
    <row r="16" spans="1:5" x14ac:dyDescent="0.25">
      <c r="A16" t="s">
        <v>6</v>
      </c>
      <c r="B16">
        <f>SMALL(B4:B13,1)</f>
        <v>13.26</v>
      </c>
      <c r="C16">
        <f>SMALL(C4:C13,1)</f>
        <v>117.23</v>
      </c>
      <c r="D16">
        <f>SMALL(D4:D13,1)</f>
        <v>9.32</v>
      </c>
      <c r="E16">
        <f>SMALL(E4:E13,1)</f>
        <v>9.48</v>
      </c>
    </row>
    <row r="17" spans="1:5" x14ac:dyDescent="0.25">
      <c r="A17" t="s">
        <v>7</v>
      </c>
      <c r="B17">
        <f>AVERAGE(B4:B13)</f>
        <v>13.675000000000001</v>
      </c>
      <c r="C17">
        <f>AVERAGE(C4:C13)</f>
        <v>119.65299999999999</v>
      </c>
      <c r="D17">
        <f>AVERAGE(D4:D13)</f>
        <v>9.4</v>
      </c>
      <c r="E17">
        <f>AVERAGE(E4:E13)</f>
        <v>9.5400000000000027</v>
      </c>
    </row>
    <row r="18" spans="1:5" x14ac:dyDescent="0.25">
      <c r="A18" t="s">
        <v>13</v>
      </c>
      <c r="B18" s="2">
        <f>AVERAGE(B15:B16)</f>
        <v>13.66</v>
      </c>
      <c r="C18" s="2">
        <f t="shared" ref="C18:E18" si="0">AVERAGE(C15:C16)</f>
        <v>119.77500000000001</v>
      </c>
      <c r="D18" s="2">
        <f t="shared" si="0"/>
        <v>9.3949999999999996</v>
      </c>
      <c r="E18" s="2">
        <f t="shared" si="0"/>
        <v>9.5650000000000013</v>
      </c>
    </row>
    <row r="19" spans="1:5" x14ac:dyDescent="0.25">
      <c r="A19" t="s">
        <v>14</v>
      </c>
      <c r="B19" s="2">
        <f>B15-B18</f>
        <v>0.40000000000000036</v>
      </c>
      <c r="C19" s="2">
        <f t="shared" ref="C19:E19" si="1">C15-C18</f>
        <v>2.5449999999999875</v>
      </c>
      <c r="D19" s="2">
        <f t="shared" si="1"/>
        <v>7.5000000000001066E-2</v>
      </c>
      <c r="E19" s="2">
        <f t="shared" si="1"/>
        <v>8.4999999999999076E-2</v>
      </c>
    </row>
    <row r="20" spans="1:5" x14ac:dyDescent="0.25">
      <c r="A20" t="s">
        <v>15</v>
      </c>
      <c r="B20" s="2">
        <f>B18-B16</f>
        <v>0.40000000000000036</v>
      </c>
      <c r="C20" s="2">
        <f t="shared" ref="C20:E20" si="2">C18-C16</f>
        <v>2.5450000000000017</v>
      </c>
      <c r="D20" s="2">
        <f t="shared" si="2"/>
        <v>7.4999999999999289E-2</v>
      </c>
      <c r="E20" s="2">
        <f t="shared" si="2"/>
        <v>8.5000000000000853E-2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8" sqref="B18:E20"/>
    </sheetView>
  </sheetViews>
  <sheetFormatPr defaultRowHeight="15" x14ac:dyDescent="0.25"/>
  <sheetData>
    <row r="1" spans="1:5" x14ac:dyDescent="0.25">
      <c r="B1" s="1" t="s">
        <v>10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13.26</v>
      </c>
      <c r="C4">
        <v>118.77</v>
      </c>
      <c r="D4">
        <v>9.3800000000000008</v>
      </c>
      <c r="E4">
        <v>9.4600000000000009</v>
      </c>
    </row>
    <row r="5" spans="1:5" x14ac:dyDescent="0.25">
      <c r="B5">
        <v>13.55</v>
      </c>
      <c r="C5">
        <v>120.7</v>
      </c>
      <c r="D5">
        <v>9.35</v>
      </c>
      <c r="E5">
        <v>9.5299999999999994</v>
      </c>
    </row>
    <row r="6" spans="1:5" x14ac:dyDescent="0.25">
      <c r="B6">
        <v>13.78</v>
      </c>
      <c r="C6">
        <v>119.21</v>
      </c>
      <c r="D6">
        <v>9.3000000000000007</v>
      </c>
      <c r="E6">
        <v>9.57</v>
      </c>
    </row>
    <row r="7" spans="1:5" x14ac:dyDescent="0.25">
      <c r="B7">
        <v>13.5</v>
      </c>
      <c r="C7">
        <v>119.96</v>
      </c>
      <c r="D7">
        <v>9.32</v>
      </c>
      <c r="E7">
        <v>9.43</v>
      </c>
    </row>
    <row r="8" spans="1:5" x14ac:dyDescent="0.25">
      <c r="B8">
        <v>13.7</v>
      </c>
      <c r="C8">
        <v>119.72</v>
      </c>
      <c r="D8">
        <v>9.3800000000000008</v>
      </c>
      <c r="E8">
        <v>9.48</v>
      </c>
    </row>
    <row r="9" spans="1:5" x14ac:dyDescent="0.25">
      <c r="B9">
        <v>13.71</v>
      </c>
      <c r="C9">
        <v>120.29</v>
      </c>
      <c r="D9">
        <v>9.36</v>
      </c>
      <c r="E9">
        <v>9.4499999999999993</v>
      </c>
    </row>
    <row r="10" spans="1:5" x14ac:dyDescent="0.25">
      <c r="B10">
        <v>13.95</v>
      </c>
      <c r="C10">
        <v>122.3</v>
      </c>
      <c r="D10">
        <v>9.42</v>
      </c>
      <c r="E10">
        <v>9.4600000000000009</v>
      </c>
    </row>
    <row r="11" spans="1:5" x14ac:dyDescent="0.25">
      <c r="B11">
        <v>13.44</v>
      </c>
      <c r="C11">
        <v>119.45</v>
      </c>
      <c r="D11">
        <v>9.25</v>
      </c>
      <c r="E11">
        <v>9.51</v>
      </c>
    </row>
    <row r="12" spans="1:5" x14ac:dyDescent="0.25">
      <c r="B12">
        <v>13.63</v>
      </c>
      <c r="C12">
        <v>119.8</v>
      </c>
      <c r="D12">
        <v>9.42</v>
      </c>
      <c r="E12">
        <v>9.61</v>
      </c>
    </row>
    <row r="13" spans="1:5" x14ac:dyDescent="0.25">
      <c r="B13">
        <v>13.17</v>
      </c>
      <c r="C13">
        <v>117.22</v>
      </c>
      <c r="D13">
        <v>9.2899999999999991</v>
      </c>
      <c r="E13">
        <v>9.43</v>
      </c>
    </row>
    <row r="15" spans="1:5" x14ac:dyDescent="0.25">
      <c r="A15" t="s">
        <v>5</v>
      </c>
      <c r="B15">
        <f>LARGE(B4:B13,1)</f>
        <v>13.95</v>
      </c>
      <c r="C15">
        <f>LARGE(C4:C13,1)</f>
        <v>122.3</v>
      </c>
      <c r="D15">
        <f>LARGE(D4:D13,1)</f>
        <v>9.42</v>
      </c>
      <c r="E15">
        <f>LARGE(E4:E13,1)</f>
        <v>9.61</v>
      </c>
    </row>
    <row r="16" spans="1:5" x14ac:dyDescent="0.25">
      <c r="A16" t="s">
        <v>6</v>
      </c>
      <c r="B16">
        <f>SMALL(B4:B13,1)</f>
        <v>13.17</v>
      </c>
      <c r="C16">
        <f>SMALL(C4:C13,1)</f>
        <v>117.22</v>
      </c>
      <c r="D16">
        <f>SMALL(D4:D13,1)</f>
        <v>9.25</v>
      </c>
      <c r="E16">
        <f>SMALL(E4:E13,1)</f>
        <v>9.43</v>
      </c>
    </row>
    <row r="17" spans="1:5" x14ac:dyDescent="0.25">
      <c r="A17" t="s">
        <v>7</v>
      </c>
      <c r="B17">
        <f>AVERAGE(B4:B13)</f>
        <v>13.568999999999999</v>
      </c>
      <c r="C17">
        <f>AVERAGE(C4:C13)</f>
        <v>119.742</v>
      </c>
      <c r="D17">
        <f>AVERAGE(D4:D13)</f>
        <v>9.3469999999999995</v>
      </c>
      <c r="E17">
        <f>AVERAGE(E4:E13)</f>
        <v>9.4930000000000003</v>
      </c>
    </row>
    <row r="18" spans="1:5" x14ac:dyDescent="0.25">
      <c r="A18" t="s">
        <v>13</v>
      </c>
      <c r="B18" s="2">
        <f>AVERAGE(B15:B16)</f>
        <v>13.559999999999999</v>
      </c>
      <c r="C18" s="2">
        <f t="shared" ref="C18:E18" si="0">AVERAGE(C15:C16)</f>
        <v>119.75999999999999</v>
      </c>
      <c r="D18" s="2">
        <f t="shared" si="0"/>
        <v>9.3350000000000009</v>
      </c>
      <c r="E18" s="2">
        <f t="shared" si="0"/>
        <v>9.52</v>
      </c>
    </row>
    <row r="19" spans="1:5" x14ac:dyDescent="0.25">
      <c r="A19" t="s">
        <v>14</v>
      </c>
      <c r="B19" s="2">
        <f>B15-B18</f>
        <v>0.39000000000000057</v>
      </c>
      <c r="C19" s="2">
        <f t="shared" ref="C19:E19" si="1">C15-C18</f>
        <v>2.5400000000000063</v>
      </c>
      <c r="D19" s="2">
        <f t="shared" si="1"/>
        <v>8.4999999999999076E-2</v>
      </c>
      <c r="E19" s="2">
        <f t="shared" si="1"/>
        <v>8.9999999999999858E-2</v>
      </c>
    </row>
    <row r="20" spans="1:5" x14ac:dyDescent="0.25">
      <c r="A20" t="s">
        <v>15</v>
      </c>
      <c r="B20" s="2">
        <f>B18-B16</f>
        <v>0.38999999999999879</v>
      </c>
      <c r="C20" s="2">
        <f t="shared" ref="C20:E20" si="2">C18-C16</f>
        <v>2.539999999999992</v>
      </c>
      <c r="D20" s="2">
        <f t="shared" si="2"/>
        <v>8.5000000000000853E-2</v>
      </c>
      <c r="E20" s="2">
        <f t="shared" si="2"/>
        <v>8.9999999999999858E-2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18" sqref="A18:E20"/>
    </sheetView>
  </sheetViews>
  <sheetFormatPr defaultRowHeight="15" x14ac:dyDescent="0.25"/>
  <sheetData>
    <row r="1" spans="1:5" x14ac:dyDescent="0.25">
      <c r="B1" s="1" t="s">
        <v>9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13.25</v>
      </c>
      <c r="C4">
        <v>118.76</v>
      </c>
      <c r="D4">
        <v>9.3000000000000007</v>
      </c>
      <c r="E4">
        <v>9.36</v>
      </c>
    </row>
    <row r="5" spans="1:5" x14ac:dyDescent="0.25">
      <c r="B5">
        <v>13.53</v>
      </c>
      <c r="C5">
        <v>120.7</v>
      </c>
      <c r="D5">
        <v>9.27</v>
      </c>
      <c r="E5">
        <v>9.42</v>
      </c>
    </row>
    <row r="6" spans="1:5" x14ac:dyDescent="0.25">
      <c r="B6">
        <v>13.77</v>
      </c>
      <c r="C6">
        <v>119.21</v>
      </c>
      <c r="D6">
        <v>9.23</v>
      </c>
      <c r="E6">
        <v>9.4600000000000009</v>
      </c>
    </row>
    <row r="7" spans="1:5" x14ac:dyDescent="0.25">
      <c r="B7">
        <v>13.49</v>
      </c>
      <c r="C7">
        <v>119.96</v>
      </c>
      <c r="D7">
        <v>9.24</v>
      </c>
      <c r="E7">
        <v>9.33</v>
      </c>
    </row>
    <row r="8" spans="1:5" x14ac:dyDescent="0.25">
      <c r="B8">
        <v>13.69</v>
      </c>
      <c r="C8">
        <v>118.72</v>
      </c>
      <c r="D8">
        <v>9.31</v>
      </c>
      <c r="E8">
        <v>9.39</v>
      </c>
    </row>
    <row r="9" spans="1:5" x14ac:dyDescent="0.25">
      <c r="B9">
        <v>13.7</v>
      </c>
      <c r="C9">
        <v>120.29</v>
      </c>
      <c r="D9">
        <v>9.2799999999999994</v>
      </c>
      <c r="E9">
        <v>9.35</v>
      </c>
    </row>
    <row r="10" spans="1:5" x14ac:dyDescent="0.25">
      <c r="B10">
        <v>13.94</v>
      </c>
      <c r="C10">
        <v>122.9</v>
      </c>
      <c r="D10">
        <v>9.34</v>
      </c>
      <c r="E10">
        <v>9.3699999999999992</v>
      </c>
    </row>
    <row r="11" spans="1:5" x14ac:dyDescent="0.25">
      <c r="B11">
        <v>13.43</v>
      </c>
      <c r="C11">
        <v>19.45</v>
      </c>
      <c r="D11">
        <v>9.18</v>
      </c>
      <c r="E11">
        <v>9.41</v>
      </c>
    </row>
    <row r="12" spans="1:5" x14ac:dyDescent="0.25">
      <c r="B12">
        <v>13.63</v>
      </c>
      <c r="C12">
        <v>119.8</v>
      </c>
      <c r="D12">
        <v>9.34</v>
      </c>
      <c r="E12">
        <v>9.5</v>
      </c>
    </row>
    <row r="13" spans="1:5" x14ac:dyDescent="0.25">
      <c r="B13">
        <v>13.15</v>
      </c>
      <c r="C13">
        <v>117.22</v>
      </c>
      <c r="D13">
        <v>9.2200000000000006</v>
      </c>
      <c r="E13">
        <v>9.34</v>
      </c>
    </row>
    <row r="15" spans="1:5" x14ac:dyDescent="0.25">
      <c r="A15" t="s">
        <v>5</v>
      </c>
      <c r="B15">
        <f>LARGE(B4:B13,1)</f>
        <v>13.94</v>
      </c>
      <c r="C15">
        <f>LARGE(C4:C13,1)</f>
        <v>122.9</v>
      </c>
      <c r="D15">
        <f>LARGE(D4:D13,1)</f>
        <v>9.34</v>
      </c>
      <c r="E15">
        <f>LARGE(E4:E13,1)</f>
        <v>9.5</v>
      </c>
    </row>
    <row r="16" spans="1:5" x14ac:dyDescent="0.25">
      <c r="A16" t="s">
        <v>6</v>
      </c>
      <c r="B16">
        <f>SMALL(B4:B13,1)</f>
        <v>13.15</v>
      </c>
      <c r="C16">
        <f>SMALL(C4:C13,1)</f>
        <v>19.45</v>
      </c>
      <c r="D16">
        <f>SMALL(D4:D13,1)</f>
        <v>9.18</v>
      </c>
      <c r="E16">
        <f>SMALL(E4:E13,1)</f>
        <v>9.33</v>
      </c>
    </row>
    <row r="17" spans="1:5" x14ac:dyDescent="0.25">
      <c r="A17" t="s">
        <v>7</v>
      </c>
      <c r="B17">
        <f>AVERAGE(B4:B13)</f>
        <v>13.558000000000002</v>
      </c>
      <c r="C17">
        <f>AVERAGE(C4:C13)</f>
        <v>109.70099999999999</v>
      </c>
      <c r="D17">
        <f>AVERAGE(D4:D13)</f>
        <v>9.2710000000000008</v>
      </c>
      <c r="E17">
        <f>AVERAGE(E4:E13)</f>
        <v>9.3930000000000007</v>
      </c>
    </row>
    <row r="18" spans="1:5" x14ac:dyDescent="0.25">
      <c r="A18" t="s">
        <v>13</v>
      </c>
      <c r="B18">
        <f>AVERAGE(B15:B16)</f>
        <v>13.545</v>
      </c>
      <c r="C18">
        <f t="shared" ref="C18:E18" si="0">AVERAGE(C15:C16)</f>
        <v>71.174999999999997</v>
      </c>
      <c r="D18">
        <f t="shared" si="0"/>
        <v>9.26</v>
      </c>
      <c r="E18">
        <f t="shared" si="0"/>
        <v>9.4149999999999991</v>
      </c>
    </row>
    <row r="19" spans="1:5" x14ac:dyDescent="0.25">
      <c r="A19" t="s">
        <v>14</v>
      </c>
      <c r="B19">
        <f>B15-B18</f>
        <v>0.39499999999999957</v>
      </c>
      <c r="C19">
        <f t="shared" ref="C19:E19" si="1">C15-C18</f>
        <v>51.725000000000009</v>
      </c>
      <c r="D19">
        <f t="shared" si="1"/>
        <v>8.0000000000000071E-2</v>
      </c>
      <c r="E19">
        <f t="shared" si="1"/>
        <v>8.5000000000000853E-2</v>
      </c>
    </row>
    <row r="20" spans="1:5" x14ac:dyDescent="0.25">
      <c r="A20" t="s">
        <v>15</v>
      </c>
      <c r="B20">
        <f>B18-B16</f>
        <v>0.39499999999999957</v>
      </c>
      <c r="C20">
        <f t="shared" ref="C20:E20" si="2">C18-C16</f>
        <v>51.724999999999994</v>
      </c>
      <c r="D20">
        <f t="shared" si="2"/>
        <v>8.0000000000000071E-2</v>
      </c>
      <c r="E20">
        <f t="shared" si="2"/>
        <v>8.4999999999999076E-2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3</vt:lpstr>
      <vt:lpstr>5</vt:lpstr>
      <vt:lpstr>7</vt:lpstr>
      <vt:lpstr>9</vt:lpstr>
      <vt:lpstr>11</vt:lpstr>
      <vt:lpstr>13</vt:lpstr>
      <vt:lpstr>15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Paschoalin</dc:creator>
  <cp:lastModifiedBy>Thiago Paschoalin</cp:lastModifiedBy>
  <dcterms:created xsi:type="dcterms:W3CDTF">2025-07-09T19:41:02Z</dcterms:created>
  <dcterms:modified xsi:type="dcterms:W3CDTF">2025-07-13T13:53:46Z</dcterms:modified>
</cp:coreProperties>
</file>