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uacacio\Documents\CEFET-MG\Doutorado\PZC_Meetings\PZC_Tile\simulator_PZC\"/>
    </mc:Choice>
  </mc:AlternateContent>
  <bookViews>
    <workbookView xWindow="0" yWindow="0" windowWidth="20490" windowHeight="7155" activeTab="6"/>
  </bookViews>
  <sheets>
    <sheet name="3" sheetId="7" r:id="rId1"/>
    <sheet name="5" sheetId="2" r:id="rId2"/>
    <sheet name="7" sheetId="1" r:id="rId3"/>
    <sheet name="9" sheetId="6" r:id="rId4"/>
    <sheet name="11" sheetId="5" r:id="rId5"/>
    <sheet name="13" sheetId="4" r:id="rId6"/>
    <sheet name="15" sheetId="3" r:id="rId7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7" l="1"/>
  <c r="D17" i="7"/>
  <c r="C17" i="7"/>
  <c r="B17" i="7"/>
  <c r="E16" i="7"/>
  <c r="D16" i="7"/>
  <c r="C16" i="7"/>
  <c r="B16" i="7"/>
  <c r="E15" i="7"/>
  <c r="D15" i="7"/>
  <c r="C15" i="7"/>
  <c r="B15" i="7"/>
  <c r="B18" i="7" l="1"/>
  <c r="B20" i="7" s="1"/>
  <c r="C18" i="7"/>
  <c r="C20" i="7" s="1"/>
  <c r="D18" i="7"/>
  <c r="D20" i="7" s="1"/>
  <c r="E18" i="7"/>
  <c r="E20" i="7" s="1"/>
  <c r="E19" i="7" l="1"/>
  <c r="D19" i="7"/>
  <c r="C19" i="7"/>
  <c r="B19" i="7"/>
  <c r="E18" i="2"/>
  <c r="E20" i="2" s="1"/>
  <c r="D18" i="2"/>
  <c r="D19" i="2" s="1"/>
  <c r="C18" i="2"/>
  <c r="C19" i="2" s="1"/>
  <c r="B18" i="2"/>
  <c r="B20" i="2" s="1"/>
  <c r="C20" i="3"/>
  <c r="D20" i="3"/>
  <c r="E20" i="3"/>
  <c r="C19" i="3"/>
  <c r="D19" i="3"/>
  <c r="E19" i="3"/>
  <c r="B20" i="3"/>
  <c r="B19" i="3"/>
  <c r="C18" i="3"/>
  <c r="D18" i="3"/>
  <c r="E18" i="3"/>
  <c r="B18" i="3"/>
  <c r="E17" i="6"/>
  <c r="D17" i="6"/>
  <c r="C17" i="6"/>
  <c r="B17" i="6"/>
  <c r="E16" i="6"/>
  <c r="D16" i="6"/>
  <c r="C16" i="6"/>
  <c r="B16" i="6"/>
  <c r="E15" i="6"/>
  <c r="E18" i="6" s="1"/>
  <c r="E20" i="6" s="1"/>
  <c r="D15" i="6"/>
  <c r="D18" i="6" s="1"/>
  <c r="D20" i="6" s="1"/>
  <c r="C15" i="6"/>
  <c r="B15" i="6"/>
  <c r="E17" i="5"/>
  <c r="D17" i="5"/>
  <c r="C17" i="5"/>
  <c r="B17" i="5"/>
  <c r="E16" i="5"/>
  <c r="D16" i="5"/>
  <c r="C16" i="5"/>
  <c r="B16" i="5"/>
  <c r="E15" i="5"/>
  <c r="E18" i="5" s="1"/>
  <c r="E20" i="5" s="1"/>
  <c r="D15" i="5"/>
  <c r="D18" i="5" s="1"/>
  <c r="D20" i="5" s="1"/>
  <c r="C15" i="5"/>
  <c r="B15" i="5"/>
  <c r="B18" i="5" s="1"/>
  <c r="B20" i="5" s="1"/>
  <c r="E17" i="4"/>
  <c r="D17" i="4"/>
  <c r="C17" i="4"/>
  <c r="B17" i="4"/>
  <c r="E16" i="4"/>
  <c r="D16" i="4"/>
  <c r="C16" i="4"/>
  <c r="B16" i="4"/>
  <c r="E15" i="4"/>
  <c r="E18" i="4" s="1"/>
  <c r="E20" i="4" s="1"/>
  <c r="D15" i="4"/>
  <c r="D18" i="4" s="1"/>
  <c r="D20" i="4" s="1"/>
  <c r="C15" i="4"/>
  <c r="B15" i="4"/>
  <c r="B18" i="4" s="1"/>
  <c r="B19" i="4" s="1"/>
  <c r="E17" i="3"/>
  <c r="D17" i="3"/>
  <c r="C17" i="3"/>
  <c r="B17" i="3"/>
  <c r="E16" i="3"/>
  <c r="D16" i="3"/>
  <c r="C16" i="3"/>
  <c r="B16" i="3"/>
  <c r="E15" i="3"/>
  <c r="D15" i="3"/>
  <c r="C15" i="3"/>
  <c r="B15" i="3"/>
  <c r="B18" i="6" l="1"/>
  <c r="B19" i="6" s="1"/>
  <c r="C18" i="6"/>
  <c r="C20" i="6" s="1"/>
  <c r="C18" i="5"/>
  <c r="C20" i="5" s="1"/>
  <c r="C18" i="4"/>
  <c r="C20" i="4" s="1"/>
  <c r="B20" i="4"/>
  <c r="D19" i="4"/>
  <c r="E19" i="4"/>
  <c r="B19" i="5"/>
  <c r="D19" i="5"/>
  <c r="E19" i="5"/>
  <c r="C19" i="6"/>
  <c r="D19" i="6"/>
  <c r="E19" i="6"/>
  <c r="C20" i="2"/>
  <c r="D20" i="2"/>
  <c r="B19" i="2"/>
  <c r="E19" i="2"/>
  <c r="E17" i="2"/>
  <c r="D17" i="2"/>
  <c r="C17" i="2"/>
  <c r="B17" i="2"/>
  <c r="E16" i="2"/>
  <c r="D16" i="2"/>
  <c r="C16" i="2"/>
  <c r="B16" i="2"/>
  <c r="E15" i="2"/>
  <c r="D15" i="2"/>
  <c r="C15" i="2"/>
  <c r="B15" i="2"/>
  <c r="C17" i="1"/>
  <c r="D17" i="1"/>
  <c r="E17" i="1"/>
  <c r="C16" i="1"/>
  <c r="D16" i="1"/>
  <c r="E16" i="1"/>
  <c r="C15" i="1"/>
  <c r="D15" i="1"/>
  <c r="E15" i="1"/>
  <c r="B17" i="1"/>
  <c r="B16" i="1"/>
  <c r="B15" i="1"/>
  <c r="D18" i="1" l="1"/>
  <c r="D20" i="1" s="1"/>
  <c r="C18" i="1"/>
  <c r="C20" i="1" s="1"/>
  <c r="E18" i="1"/>
  <c r="E20" i="1" s="1"/>
  <c r="B18" i="1"/>
  <c r="B20" i="6"/>
  <c r="C19" i="5"/>
  <c r="C19" i="4"/>
  <c r="D19" i="1" l="1"/>
  <c r="C19" i="1"/>
  <c r="E19" i="1"/>
  <c r="B19" i="1"/>
  <c r="B20" i="1"/>
</calcChain>
</file>

<file path=xl/sharedStrings.xml><?xml version="1.0" encoding="utf-8"?>
<sst xmlns="http://schemas.openxmlformats.org/spreadsheetml/2006/main" count="91" uniqueCount="17">
  <si>
    <t>STD</t>
  </si>
  <si>
    <t>RMSE</t>
  </si>
  <si>
    <t>WIENER</t>
  </si>
  <si>
    <t>PZC + WIENER</t>
  </si>
  <si>
    <t>PESO 7</t>
  </si>
  <si>
    <t>MAX</t>
  </si>
  <si>
    <t>MIN</t>
  </si>
  <si>
    <t>MEDIA</t>
  </si>
  <si>
    <t>PESO 5</t>
  </si>
  <si>
    <t>PESO 15</t>
  </si>
  <si>
    <t>PESO 13</t>
  </si>
  <si>
    <t>PESO 11</t>
  </si>
  <si>
    <t>PESO 9</t>
  </si>
  <si>
    <t>MEIO</t>
  </si>
  <si>
    <t>DIF MAX</t>
  </si>
  <si>
    <t>DIF MIN</t>
  </si>
  <si>
    <t>PESO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</si>
</sst>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B18" sqref="B18:E20"/>
    </sheetView>
  </sheetViews>
  <sheetFormatPr defaultRowHeight="15" x14ac:dyDescent="0.25"/>
  <sheetData>
    <row r="1" spans="1:5" x14ac:dyDescent="0.25">
      <c r="B1" s="1" t="s">
        <v>16</v>
      </c>
      <c r="C1" s="1"/>
      <c r="D1" s="1"/>
      <c r="E1" s="1"/>
    </row>
    <row r="2" spans="1:5" x14ac:dyDescent="0.25">
      <c r="B2" s="1" t="s">
        <v>2</v>
      </c>
      <c r="C2" s="1"/>
      <c r="D2" s="1" t="s">
        <v>3</v>
      </c>
      <c r="E2" s="1"/>
    </row>
    <row r="3" spans="1:5" x14ac:dyDescent="0.25">
      <c r="B3" t="s">
        <v>0</v>
      </c>
      <c r="C3" t="s">
        <v>1</v>
      </c>
      <c r="D3" t="s">
        <v>0</v>
      </c>
      <c r="E3" t="s">
        <v>1</v>
      </c>
    </row>
    <row r="4" spans="1:5" x14ac:dyDescent="0.25">
      <c r="B4">
        <v>8.0500000000000007</v>
      </c>
      <c r="C4">
        <v>8.26</v>
      </c>
      <c r="D4">
        <v>9.76</v>
      </c>
      <c r="E4">
        <v>9.9600000000000009</v>
      </c>
    </row>
    <row r="5" spans="1:5" x14ac:dyDescent="0.25">
      <c r="B5">
        <v>6.94</v>
      </c>
      <c r="C5">
        <v>7.15</v>
      </c>
      <c r="D5">
        <v>7.84</v>
      </c>
      <c r="E5">
        <v>8.1300000000000008</v>
      </c>
    </row>
    <row r="6" spans="1:5" x14ac:dyDescent="0.25">
      <c r="B6">
        <v>7</v>
      </c>
      <c r="C6">
        <v>7.23</v>
      </c>
      <c r="D6">
        <v>8.09</v>
      </c>
      <c r="E6">
        <v>8.6199999999999992</v>
      </c>
    </row>
    <row r="7" spans="1:5" x14ac:dyDescent="0.25">
      <c r="B7">
        <v>7.4</v>
      </c>
      <c r="C7">
        <v>7.62</v>
      </c>
      <c r="D7">
        <v>8.7899999999999991</v>
      </c>
      <c r="E7">
        <v>9.2799999999999994</v>
      </c>
    </row>
    <row r="8" spans="1:5" x14ac:dyDescent="0.25">
      <c r="B8">
        <v>6.72</v>
      </c>
      <c r="C8">
        <v>6.96</v>
      </c>
      <c r="D8">
        <v>7.49</v>
      </c>
      <c r="E8">
        <v>7.73</v>
      </c>
    </row>
    <row r="9" spans="1:5" x14ac:dyDescent="0.25">
      <c r="B9">
        <v>6.68</v>
      </c>
      <c r="C9">
        <v>6.89</v>
      </c>
      <c r="D9">
        <v>7.43</v>
      </c>
      <c r="E9">
        <v>7.7</v>
      </c>
    </row>
    <row r="10" spans="1:5" x14ac:dyDescent="0.25">
      <c r="B10">
        <v>7.02</v>
      </c>
      <c r="C10">
        <v>7.24</v>
      </c>
      <c r="D10">
        <v>7.43</v>
      </c>
      <c r="E10">
        <v>8.32</v>
      </c>
    </row>
    <row r="11" spans="1:5" x14ac:dyDescent="0.25">
      <c r="B11">
        <v>6.68</v>
      </c>
      <c r="C11">
        <v>6.9</v>
      </c>
      <c r="D11">
        <v>7.41</v>
      </c>
      <c r="E11">
        <v>7.73</v>
      </c>
    </row>
    <row r="12" spans="1:5" x14ac:dyDescent="0.25">
      <c r="B12">
        <v>7.16</v>
      </c>
      <c r="C12">
        <v>7.39</v>
      </c>
      <c r="D12">
        <v>7.82</v>
      </c>
      <c r="E12">
        <v>8.83</v>
      </c>
    </row>
    <row r="13" spans="1:5" x14ac:dyDescent="0.25">
      <c r="B13">
        <v>7.47</v>
      </c>
      <c r="C13">
        <v>7.7</v>
      </c>
      <c r="D13">
        <v>8.64</v>
      </c>
      <c r="E13">
        <v>9.16</v>
      </c>
    </row>
    <row r="15" spans="1:5" x14ac:dyDescent="0.25">
      <c r="A15" t="s">
        <v>5</v>
      </c>
      <c r="B15">
        <f>LARGE(B4:B13,1)</f>
        <v>8.0500000000000007</v>
      </c>
      <c r="C15">
        <f>LARGE(C4:C13,1)</f>
        <v>8.26</v>
      </c>
      <c r="D15">
        <f>LARGE(D4:D13,1)</f>
        <v>9.76</v>
      </c>
      <c r="E15">
        <f>LARGE(E4:E13,1)</f>
        <v>9.9600000000000009</v>
      </c>
    </row>
    <row r="16" spans="1:5" x14ac:dyDescent="0.25">
      <c r="A16" t="s">
        <v>6</v>
      </c>
      <c r="B16">
        <f>SMALL(B4:B13,1)</f>
        <v>6.68</v>
      </c>
      <c r="C16">
        <f>SMALL(C4:C13,1)</f>
        <v>6.89</v>
      </c>
      <c r="D16">
        <f>SMALL(D4:D13,1)</f>
        <v>7.41</v>
      </c>
      <c r="E16">
        <f>SMALL(E4:E13,1)</f>
        <v>7.7</v>
      </c>
    </row>
    <row r="17" spans="1:5" x14ac:dyDescent="0.25">
      <c r="A17" t="s">
        <v>7</v>
      </c>
      <c r="B17">
        <f>AVERAGE(B4:B13)</f>
        <v>7.1120000000000001</v>
      </c>
      <c r="C17">
        <f>AVERAGE(C4:C13)</f>
        <v>7.3340000000000005</v>
      </c>
      <c r="D17">
        <f>AVERAGE(D4:D13)</f>
        <v>8.07</v>
      </c>
      <c r="E17">
        <f>AVERAGE(E4:E13)</f>
        <v>8.5459999999999994</v>
      </c>
    </row>
    <row r="18" spans="1:5" x14ac:dyDescent="0.25">
      <c r="A18" t="s">
        <v>13</v>
      </c>
      <c r="B18" s="2">
        <f>AVERAGE(B15:B16)</f>
        <v>7.3650000000000002</v>
      </c>
      <c r="C18" s="2">
        <f t="shared" ref="C18:E18" si="0">AVERAGE(C15:C16)</f>
        <v>7.5749999999999993</v>
      </c>
      <c r="D18" s="2">
        <f t="shared" si="0"/>
        <v>8.5850000000000009</v>
      </c>
      <c r="E18" s="2">
        <f t="shared" si="0"/>
        <v>8.83</v>
      </c>
    </row>
    <row r="19" spans="1:5" x14ac:dyDescent="0.25">
      <c r="A19" t="s">
        <v>14</v>
      </c>
      <c r="B19" s="2">
        <f>B15-B18</f>
        <v>0.6850000000000005</v>
      </c>
      <c r="C19" s="2">
        <f t="shared" ref="C19:E19" si="1">C15-C18</f>
        <v>0.6850000000000005</v>
      </c>
      <c r="D19" s="2">
        <f t="shared" si="1"/>
        <v>1.1749999999999989</v>
      </c>
      <c r="E19" s="2">
        <f t="shared" si="1"/>
        <v>1.1300000000000008</v>
      </c>
    </row>
    <row r="20" spans="1:5" x14ac:dyDescent="0.25">
      <c r="A20" t="s">
        <v>15</v>
      </c>
      <c r="B20" s="2">
        <f>B18-B16</f>
        <v>0.6850000000000005</v>
      </c>
      <c r="C20" s="2">
        <f t="shared" ref="C20:E20" si="2">C18-C16</f>
        <v>0.68499999999999961</v>
      </c>
      <c r="D20" s="2">
        <f t="shared" si="2"/>
        <v>1.1750000000000007</v>
      </c>
      <c r="E20" s="2">
        <f t="shared" si="2"/>
        <v>1.1299999999999999</v>
      </c>
    </row>
  </sheetData>
  <mergeCells count="3">
    <mergeCell ref="B1:E1"/>
    <mergeCell ref="B2:C2"/>
    <mergeCell ref="D2:E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B18" sqref="B18:E20"/>
    </sheetView>
  </sheetViews>
  <sheetFormatPr defaultRowHeight="15" x14ac:dyDescent="0.25"/>
  <sheetData>
    <row r="1" spans="1:5" x14ac:dyDescent="0.25">
      <c r="B1" s="1" t="s">
        <v>8</v>
      </c>
      <c r="C1" s="1"/>
      <c r="D1" s="1"/>
      <c r="E1" s="1"/>
    </row>
    <row r="2" spans="1:5" x14ac:dyDescent="0.25">
      <c r="B2" s="1" t="s">
        <v>2</v>
      </c>
      <c r="C2" s="1"/>
      <c r="D2" s="1" t="s">
        <v>3</v>
      </c>
      <c r="E2" s="1"/>
    </row>
    <row r="3" spans="1:5" x14ac:dyDescent="0.25">
      <c r="B3" t="s">
        <v>0</v>
      </c>
      <c r="C3" t="s">
        <v>1</v>
      </c>
      <c r="D3" t="s">
        <v>0</v>
      </c>
      <c r="E3" t="s">
        <v>1</v>
      </c>
    </row>
    <row r="4" spans="1:5" x14ac:dyDescent="0.25">
      <c r="B4">
        <v>8.0500000000000007</v>
      </c>
      <c r="C4">
        <v>8.25</v>
      </c>
      <c r="D4">
        <v>9.39</v>
      </c>
      <c r="E4">
        <v>9.49</v>
      </c>
    </row>
    <row r="5" spans="1:5" x14ac:dyDescent="0.25">
      <c r="B5">
        <v>6.94</v>
      </c>
      <c r="C5">
        <v>7.15</v>
      </c>
      <c r="D5">
        <v>7.62</v>
      </c>
      <c r="E5">
        <v>7.77</v>
      </c>
    </row>
    <row r="6" spans="1:5" x14ac:dyDescent="0.25">
      <c r="B6">
        <v>7</v>
      </c>
      <c r="C6">
        <v>7.23</v>
      </c>
      <c r="D6">
        <v>7.85</v>
      </c>
      <c r="E6">
        <v>8.14</v>
      </c>
    </row>
    <row r="7" spans="1:5" x14ac:dyDescent="0.25">
      <c r="B7">
        <v>7.39</v>
      </c>
      <c r="C7">
        <v>7.62</v>
      </c>
      <c r="D7">
        <v>8.4499999999999993</v>
      </c>
      <c r="E7">
        <v>8.73</v>
      </c>
    </row>
    <row r="8" spans="1:5" x14ac:dyDescent="0.25">
      <c r="B8">
        <v>6.72</v>
      </c>
      <c r="C8">
        <v>6.96</v>
      </c>
      <c r="D8">
        <v>7.32</v>
      </c>
      <c r="E8">
        <v>7.43</v>
      </c>
    </row>
    <row r="9" spans="1:5" x14ac:dyDescent="0.25">
      <c r="B9">
        <v>6.68</v>
      </c>
      <c r="C9">
        <v>6.88</v>
      </c>
      <c r="D9">
        <v>7.56</v>
      </c>
      <c r="E9">
        <v>7.39</v>
      </c>
    </row>
    <row r="10" spans="1:5" x14ac:dyDescent="0.25">
      <c r="B10">
        <v>7.02</v>
      </c>
      <c r="C10">
        <v>7.24</v>
      </c>
      <c r="D10">
        <v>7.39</v>
      </c>
      <c r="E10">
        <v>7.95</v>
      </c>
    </row>
    <row r="11" spans="1:5" x14ac:dyDescent="0.25">
      <c r="B11">
        <v>6.68</v>
      </c>
      <c r="C11">
        <v>6.89</v>
      </c>
      <c r="D11">
        <v>7.23</v>
      </c>
      <c r="E11">
        <v>7.41</v>
      </c>
    </row>
    <row r="12" spans="1:5" x14ac:dyDescent="0.25">
      <c r="B12">
        <v>7.17</v>
      </c>
      <c r="C12">
        <v>7.39</v>
      </c>
      <c r="D12">
        <v>7.72</v>
      </c>
      <c r="E12">
        <v>8.36</v>
      </c>
    </row>
    <row r="13" spans="1:5" x14ac:dyDescent="0.25">
      <c r="B13">
        <v>7.46</v>
      </c>
      <c r="C13">
        <v>7.69</v>
      </c>
      <c r="D13">
        <v>8.44</v>
      </c>
      <c r="E13">
        <v>8.73</v>
      </c>
    </row>
    <row r="15" spans="1:5" x14ac:dyDescent="0.25">
      <c r="A15" t="s">
        <v>5</v>
      </c>
      <c r="B15">
        <f>LARGE(B4:B13,1)</f>
        <v>8.0500000000000007</v>
      </c>
      <c r="C15">
        <f>LARGE(C4:C13,1)</f>
        <v>8.25</v>
      </c>
      <c r="D15">
        <f>LARGE(D4:D13,1)</f>
        <v>9.39</v>
      </c>
      <c r="E15">
        <f>LARGE(E4:E13,1)</f>
        <v>9.49</v>
      </c>
    </row>
    <row r="16" spans="1:5" x14ac:dyDescent="0.25">
      <c r="A16" t="s">
        <v>6</v>
      </c>
      <c r="B16">
        <f>SMALL(B4:B13,1)</f>
        <v>6.68</v>
      </c>
      <c r="C16">
        <f>SMALL(C4:C13,1)</f>
        <v>6.88</v>
      </c>
      <c r="D16">
        <f>SMALL(D4:D13,1)</f>
        <v>7.23</v>
      </c>
      <c r="E16">
        <f>SMALL(E4:E13,1)</f>
        <v>7.39</v>
      </c>
    </row>
    <row r="17" spans="1:5" x14ac:dyDescent="0.25">
      <c r="A17" t="s">
        <v>7</v>
      </c>
      <c r="B17">
        <f>AVERAGE(B4:B13)</f>
        <v>7.1109999999999998</v>
      </c>
      <c r="C17">
        <f>AVERAGE(C4:C13)</f>
        <v>7.33</v>
      </c>
      <c r="D17">
        <f>AVERAGE(D4:D13)</f>
        <v>7.8970000000000002</v>
      </c>
      <c r="E17">
        <f>AVERAGE(E4:E13)</f>
        <v>8.14</v>
      </c>
    </row>
    <row r="18" spans="1:5" x14ac:dyDescent="0.25">
      <c r="A18" t="s">
        <v>13</v>
      </c>
      <c r="B18" s="2">
        <f>AVERAGE(B15:B16)</f>
        <v>7.3650000000000002</v>
      </c>
      <c r="C18" s="2">
        <f t="shared" ref="C18:E18" si="0">AVERAGE(C15:C16)</f>
        <v>7.5649999999999995</v>
      </c>
      <c r="D18" s="2">
        <f t="shared" si="0"/>
        <v>8.31</v>
      </c>
      <c r="E18" s="2">
        <f t="shared" si="0"/>
        <v>8.44</v>
      </c>
    </row>
    <row r="19" spans="1:5" x14ac:dyDescent="0.25">
      <c r="A19" t="s">
        <v>14</v>
      </c>
      <c r="B19" s="2">
        <f>B15-B18</f>
        <v>0.6850000000000005</v>
      </c>
      <c r="C19" s="2">
        <f t="shared" ref="C19:E19" si="1">C15-C18</f>
        <v>0.6850000000000005</v>
      </c>
      <c r="D19" s="2">
        <f t="shared" si="1"/>
        <v>1.08</v>
      </c>
      <c r="E19" s="2">
        <f t="shared" si="1"/>
        <v>1.0500000000000007</v>
      </c>
    </row>
    <row r="20" spans="1:5" x14ac:dyDescent="0.25">
      <c r="A20" t="s">
        <v>15</v>
      </c>
      <c r="B20" s="2">
        <f>B18-B16</f>
        <v>0.6850000000000005</v>
      </c>
      <c r="C20" s="2">
        <f t="shared" ref="C20:E20" si="2">C18-C16</f>
        <v>0.68499999999999961</v>
      </c>
      <c r="D20" s="2">
        <f t="shared" si="2"/>
        <v>1.08</v>
      </c>
      <c r="E20" s="2">
        <f t="shared" si="2"/>
        <v>1.0499999999999998</v>
      </c>
    </row>
  </sheetData>
  <mergeCells count="3">
    <mergeCell ref="B1:E1"/>
    <mergeCell ref="B2:C2"/>
    <mergeCell ref="D2:E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B18" sqref="B18:E20"/>
    </sheetView>
  </sheetViews>
  <sheetFormatPr defaultRowHeight="15" x14ac:dyDescent="0.25"/>
  <sheetData>
    <row r="1" spans="1:5" x14ac:dyDescent="0.25">
      <c r="B1" s="1" t="s">
        <v>4</v>
      </c>
      <c r="C1" s="1"/>
      <c r="D1" s="1"/>
      <c r="E1" s="1"/>
    </row>
    <row r="2" spans="1:5" x14ac:dyDescent="0.25">
      <c r="B2" s="1" t="s">
        <v>2</v>
      </c>
      <c r="C2" s="1"/>
      <c r="D2" s="1" t="s">
        <v>3</v>
      </c>
      <c r="E2" s="1"/>
    </row>
    <row r="3" spans="1:5" x14ac:dyDescent="0.25">
      <c r="B3" t="s">
        <v>0</v>
      </c>
      <c r="C3" t="s">
        <v>1</v>
      </c>
      <c r="D3" t="s">
        <v>0</v>
      </c>
      <c r="E3" t="s">
        <v>1</v>
      </c>
    </row>
    <row r="4" spans="1:5" x14ac:dyDescent="0.25">
      <c r="B4">
        <v>8.0500000000000007</v>
      </c>
      <c r="C4">
        <v>8.25</v>
      </c>
      <c r="D4">
        <v>9.14</v>
      </c>
      <c r="E4">
        <v>9.1999999999999993</v>
      </c>
    </row>
    <row r="5" spans="1:5" x14ac:dyDescent="0.25">
      <c r="B5">
        <v>6.94</v>
      </c>
      <c r="C5">
        <v>7.15</v>
      </c>
      <c r="D5">
        <v>7.5</v>
      </c>
      <c r="E5">
        <v>7.61</v>
      </c>
    </row>
    <row r="6" spans="1:5" x14ac:dyDescent="0.25">
      <c r="B6">
        <v>7</v>
      </c>
      <c r="C6">
        <v>7.23</v>
      </c>
      <c r="D6">
        <v>7.7</v>
      </c>
      <c r="E6">
        <v>7.89</v>
      </c>
    </row>
    <row r="7" spans="1:5" x14ac:dyDescent="0.25">
      <c r="B7">
        <v>7.39</v>
      </c>
      <c r="C7">
        <v>7.62</v>
      </c>
      <c r="D7">
        <v>8.25</v>
      </c>
      <c r="E7">
        <v>8.44</v>
      </c>
    </row>
    <row r="8" spans="1:5" x14ac:dyDescent="0.25">
      <c r="B8">
        <v>6.72</v>
      </c>
      <c r="C8">
        <v>6.95</v>
      </c>
      <c r="D8">
        <v>7.23</v>
      </c>
      <c r="E8">
        <v>7.29</v>
      </c>
    </row>
    <row r="9" spans="1:5" x14ac:dyDescent="0.25">
      <c r="B9">
        <v>6.68</v>
      </c>
      <c r="C9">
        <v>6.88</v>
      </c>
      <c r="D9">
        <v>7.16</v>
      </c>
      <c r="E9">
        <v>7.25</v>
      </c>
    </row>
    <row r="10" spans="1:5" x14ac:dyDescent="0.25">
      <c r="B10">
        <v>7.02</v>
      </c>
      <c r="C10">
        <v>7.24</v>
      </c>
      <c r="D10">
        <v>7.37</v>
      </c>
      <c r="E10">
        <v>7.75</v>
      </c>
    </row>
    <row r="11" spans="1:5" x14ac:dyDescent="0.25">
      <c r="B11">
        <v>6.68</v>
      </c>
      <c r="C11">
        <v>6.89</v>
      </c>
      <c r="D11">
        <v>7.14</v>
      </c>
      <c r="E11">
        <v>7.27</v>
      </c>
    </row>
    <row r="12" spans="1:5" x14ac:dyDescent="0.25">
      <c r="B12">
        <v>7.17</v>
      </c>
      <c r="C12">
        <v>7.39</v>
      </c>
      <c r="D12">
        <v>7.67</v>
      </c>
      <c r="E12">
        <v>8.11</v>
      </c>
    </row>
    <row r="13" spans="1:5" x14ac:dyDescent="0.25">
      <c r="B13">
        <v>7.46</v>
      </c>
      <c r="C13">
        <v>7.69</v>
      </c>
      <c r="D13">
        <v>8.2799999999999994</v>
      </c>
      <c r="E13">
        <v>8.48</v>
      </c>
    </row>
    <row r="15" spans="1:5" x14ac:dyDescent="0.25">
      <c r="A15" t="s">
        <v>5</v>
      </c>
      <c r="B15">
        <f>LARGE(B4:B13,1)</f>
        <v>8.0500000000000007</v>
      </c>
      <c r="C15">
        <f>LARGE(C4:C13,1)</f>
        <v>8.25</v>
      </c>
      <c r="D15">
        <f>LARGE(D4:D13,1)</f>
        <v>9.14</v>
      </c>
      <c r="E15">
        <f>LARGE(E4:E13,1)</f>
        <v>9.1999999999999993</v>
      </c>
    </row>
    <row r="16" spans="1:5" x14ac:dyDescent="0.25">
      <c r="A16" t="s">
        <v>6</v>
      </c>
      <c r="B16">
        <f>SMALL(B4:B13,1)</f>
        <v>6.68</v>
      </c>
      <c r="C16">
        <f>SMALL(C4:C13,1)</f>
        <v>6.88</v>
      </c>
      <c r="D16">
        <f>SMALL(D4:D13,1)</f>
        <v>7.14</v>
      </c>
      <c r="E16">
        <f>SMALL(E4:E13,1)</f>
        <v>7.25</v>
      </c>
    </row>
    <row r="17" spans="1:5" x14ac:dyDescent="0.25">
      <c r="A17" t="s">
        <v>7</v>
      </c>
      <c r="B17">
        <f>AVERAGE(B4:B13)</f>
        <v>7.1109999999999998</v>
      </c>
      <c r="C17">
        <f>AVERAGE(C4:C13)</f>
        <v>7.3290000000000006</v>
      </c>
      <c r="D17">
        <f>AVERAGE(D4:D13)</f>
        <v>7.7439999999999998</v>
      </c>
      <c r="E17">
        <f>AVERAGE(E4:E13)</f>
        <v>7.9290000000000003</v>
      </c>
    </row>
    <row r="18" spans="1:5" x14ac:dyDescent="0.25">
      <c r="A18" t="s">
        <v>13</v>
      </c>
      <c r="B18" s="2">
        <f>AVERAGE(B15:B16)</f>
        <v>7.3650000000000002</v>
      </c>
      <c r="C18" s="2">
        <f t="shared" ref="C18:E18" si="0">AVERAGE(C15:C16)</f>
        <v>7.5649999999999995</v>
      </c>
      <c r="D18" s="2">
        <f t="shared" si="0"/>
        <v>8.14</v>
      </c>
      <c r="E18" s="2">
        <f t="shared" si="0"/>
        <v>8.2249999999999996</v>
      </c>
    </row>
    <row r="19" spans="1:5" x14ac:dyDescent="0.25">
      <c r="A19" t="s">
        <v>14</v>
      </c>
      <c r="B19" s="2">
        <f>B15-B18</f>
        <v>0.6850000000000005</v>
      </c>
      <c r="C19" s="2">
        <f t="shared" ref="C19:E19" si="1">C15-C18</f>
        <v>0.6850000000000005</v>
      </c>
      <c r="D19" s="2">
        <f t="shared" si="1"/>
        <v>1</v>
      </c>
      <c r="E19" s="2">
        <f t="shared" si="1"/>
        <v>0.97499999999999964</v>
      </c>
    </row>
    <row r="20" spans="1:5" x14ac:dyDescent="0.25">
      <c r="A20" t="s">
        <v>15</v>
      </c>
      <c r="B20" s="2">
        <f>B18-B16</f>
        <v>0.6850000000000005</v>
      </c>
      <c r="C20" s="2">
        <f t="shared" ref="C20:E20" si="2">C18-C16</f>
        <v>0.68499999999999961</v>
      </c>
      <c r="D20" s="2">
        <f t="shared" si="2"/>
        <v>1.0000000000000009</v>
      </c>
      <c r="E20" s="2">
        <f t="shared" si="2"/>
        <v>0.97499999999999964</v>
      </c>
    </row>
  </sheetData>
  <mergeCells count="3">
    <mergeCell ref="B2:C2"/>
    <mergeCell ref="D2:E2"/>
    <mergeCell ref="B1:E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B18" sqref="B18:E20"/>
    </sheetView>
  </sheetViews>
  <sheetFormatPr defaultRowHeight="15" x14ac:dyDescent="0.25"/>
  <sheetData>
    <row r="1" spans="1:5" x14ac:dyDescent="0.25">
      <c r="B1" s="1" t="s">
        <v>12</v>
      </c>
      <c r="C1" s="1"/>
      <c r="D1" s="1"/>
      <c r="E1" s="1"/>
    </row>
    <row r="2" spans="1:5" x14ac:dyDescent="0.25">
      <c r="B2" s="1" t="s">
        <v>2</v>
      </c>
      <c r="C2" s="1"/>
      <c r="D2" s="1" t="s">
        <v>3</v>
      </c>
      <c r="E2" s="1"/>
    </row>
    <row r="3" spans="1:5" x14ac:dyDescent="0.25">
      <c r="B3" t="s">
        <v>0</v>
      </c>
      <c r="C3" t="s">
        <v>1</v>
      </c>
      <c r="D3" t="s">
        <v>0</v>
      </c>
      <c r="E3" t="s">
        <v>1</v>
      </c>
    </row>
    <row r="4" spans="1:5" x14ac:dyDescent="0.25">
      <c r="B4">
        <v>8.0500000000000007</v>
      </c>
      <c r="C4">
        <v>8.25</v>
      </c>
      <c r="D4">
        <v>8.94</v>
      </c>
      <c r="E4">
        <v>8.98</v>
      </c>
    </row>
    <row r="5" spans="1:5" x14ac:dyDescent="0.25">
      <c r="B5">
        <v>6.94</v>
      </c>
      <c r="C5">
        <v>7.15</v>
      </c>
      <c r="D5">
        <v>7.4</v>
      </c>
      <c r="E5">
        <v>7.48</v>
      </c>
    </row>
    <row r="6" spans="1:5" x14ac:dyDescent="0.25">
      <c r="B6">
        <v>7</v>
      </c>
      <c r="C6">
        <v>7.23</v>
      </c>
      <c r="D6">
        <v>7.58</v>
      </c>
      <c r="E6">
        <v>7.71</v>
      </c>
    </row>
    <row r="7" spans="1:5" x14ac:dyDescent="0.25">
      <c r="B7">
        <v>7.39</v>
      </c>
      <c r="C7">
        <v>7.62</v>
      </c>
      <c r="D7">
        <v>8.09</v>
      </c>
      <c r="E7">
        <v>8.24</v>
      </c>
    </row>
    <row r="8" spans="1:5" x14ac:dyDescent="0.25">
      <c r="B8">
        <v>6.72</v>
      </c>
      <c r="C8">
        <v>6.95</v>
      </c>
      <c r="D8">
        <v>7.14</v>
      </c>
      <c r="E8">
        <v>7.18</v>
      </c>
    </row>
    <row r="9" spans="1:5" x14ac:dyDescent="0.25">
      <c r="B9">
        <v>6.68</v>
      </c>
      <c r="C9">
        <v>6.88</v>
      </c>
      <c r="D9">
        <v>7.08</v>
      </c>
      <c r="E9">
        <v>7.14</v>
      </c>
    </row>
    <row r="10" spans="1:5" x14ac:dyDescent="0.25">
      <c r="B10">
        <v>7.02</v>
      </c>
      <c r="C10">
        <v>7.24</v>
      </c>
      <c r="D10">
        <v>7.33</v>
      </c>
      <c r="E10">
        <v>7.61</v>
      </c>
    </row>
    <row r="11" spans="1:5" x14ac:dyDescent="0.25">
      <c r="B11">
        <v>6.68</v>
      </c>
      <c r="C11">
        <v>6.89</v>
      </c>
      <c r="D11">
        <v>7.07</v>
      </c>
      <c r="E11">
        <v>7.16</v>
      </c>
    </row>
    <row r="12" spans="1:5" x14ac:dyDescent="0.25">
      <c r="B12">
        <v>7.17</v>
      </c>
      <c r="C12">
        <v>7.39</v>
      </c>
      <c r="D12">
        <v>7.61</v>
      </c>
      <c r="E12">
        <v>7.92</v>
      </c>
    </row>
    <row r="13" spans="1:5" x14ac:dyDescent="0.25">
      <c r="B13">
        <v>7.46</v>
      </c>
      <c r="C13">
        <v>7.69</v>
      </c>
      <c r="D13">
        <v>8.15</v>
      </c>
      <c r="E13">
        <v>8.2899999999999991</v>
      </c>
    </row>
    <row r="15" spans="1:5" x14ac:dyDescent="0.25">
      <c r="A15" t="s">
        <v>5</v>
      </c>
      <c r="B15">
        <f>LARGE(B4:B13,1)</f>
        <v>8.0500000000000007</v>
      </c>
      <c r="C15">
        <f>LARGE(C4:C13,1)</f>
        <v>8.25</v>
      </c>
      <c r="D15">
        <f>LARGE(D4:D13,1)</f>
        <v>8.94</v>
      </c>
      <c r="E15">
        <f>LARGE(E4:E13,1)</f>
        <v>8.98</v>
      </c>
    </row>
    <row r="16" spans="1:5" x14ac:dyDescent="0.25">
      <c r="A16" t="s">
        <v>6</v>
      </c>
      <c r="B16">
        <f>SMALL(B4:B13,1)</f>
        <v>6.68</v>
      </c>
      <c r="C16">
        <f>SMALL(C4:C13,1)</f>
        <v>6.88</v>
      </c>
      <c r="D16">
        <f>SMALL(D4:D13,1)</f>
        <v>7.07</v>
      </c>
      <c r="E16">
        <f>SMALL(E4:E13,1)</f>
        <v>7.14</v>
      </c>
    </row>
    <row r="17" spans="1:5" x14ac:dyDescent="0.25">
      <c r="A17" t="s">
        <v>7</v>
      </c>
      <c r="B17">
        <f>AVERAGE(B4:B13)</f>
        <v>7.1109999999999998</v>
      </c>
      <c r="C17">
        <f>AVERAGE(C4:C13)</f>
        <v>7.3290000000000006</v>
      </c>
      <c r="D17">
        <f>AVERAGE(D4:D13)</f>
        <v>7.6390000000000011</v>
      </c>
      <c r="E17">
        <f>AVERAGE(E4:E13)</f>
        <v>7.7710000000000008</v>
      </c>
    </row>
    <row r="18" spans="1:5" x14ac:dyDescent="0.25">
      <c r="A18" t="s">
        <v>13</v>
      </c>
      <c r="B18" s="2">
        <f>AVERAGE(B15:B16)</f>
        <v>7.3650000000000002</v>
      </c>
      <c r="C18" s="2">
        <f t="shared" ref="C18:E18" si="0">AVERAGE(C15:C16)</f>
        <v>7.5649999999999995</v>
      </c>
      <c r="D18" s="2">
        <f t="shared" si="0"/>
        <v>8.004999999999999</v>
      </c>
      <c r="E18" s="2">
        <f t="shared" si="0"/>
        <v>8.06</v>
      </c>
    </row>
    <row r="19" spans="1:5" x14ac:dyDescent="0.25">
      <c r="A19" t="s">
        <v>14</v>
      </c>
      <c r="B19" s="2">
        <f>B15-B18</f>
        <v>0.6850000000000005</v>
      </c>
      <c r="C19" s="2">
        <f t="shared" ref="C19:E19" si="1">C15-C18</f>
        <v>0.6850000000000005</v>
      </c>
      <c r="D19" s="2">
        <f t="shared" si="1"/>
        <v>0.9350000000000005</v>
      </c>
      <c r="E19" s="2">
        <f t="shared" si="1"/>
        <v>0.91999999999999993</v>
      </c>
    </row>
    <row r="20" spans="1:5" x14ac:dyDescent="0.25">
      <c r="A20" t="s">
        <v>15</v>
      </c>
      <c r="B20" s="2">
        <f>B18-B16</f>
        <v>0.6850000000000005</v>
      </c>
      <c r="C20" s="2">
        <f t="shared" ref="C20:E20" si="2">C18-C16</f>
        <v>0.68499999999999961</v>
      </c>
      <c r="D20" s="2">
        <f t="shared" si="2"/>
        <v>0.93499999999999872</v>
      </c>
      <c r="E20" s="2">
        <f t="shared" si="2"/>
        <v>0.92000000000000082</v>
      </c>
    </row>
  </sheetData>
  <mergeCells count="3">
    <mergeCell ref="B1:E1"/>
    <mergeCell ref="B2:C2"/>
    <mergeCell ref="D2:E2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B18" sqref="B18:E20"/>
    </sheetView>
  </sheetViews>
  <sheetFormatPr defaultRowHeight="15" x14ac:dyDescent="0.25"/>
  <sheetData>
    <row r="1" spans="1:5" x14ac:dyDescent="0.25">
      <c r="B1" s="1" t="s">
        <v>11</v>
      </c>
      <c r="C1" s="1"/>
      <c r="D1" s="1"/>
      <c r="E1" s="1"/>
    </row>
    <row r="2" spans="1:5" x14ac:dyDescent="0.25">
      <c r="B2" s="1" t="s">
        <v>2</v>
      </c>
      <c r="C2" s="1"/>
      <c r="D2" s="1" t="s">
        <v>3</v>
      </c>
      <c r="E2" s="1"/>
    </row>
    <row r="3" spans="1:5" x14ac:dyDescent="0.25">
      <c r="B3" t="s">
        <v>0</v>
      </c>
      <c r="C3" t="s">
        <v>1</v>
      </c>
      <c r="D3" t="s">
        <v>0</v>
      </c>
      <c r="E3" t="s">
        <v>1</v>
      </c>
    </row>
    <row r="4" spans="1:5" x14ac:dyDescent="0.25">
      <c r="B4">
        <v>8.0500000000000007</v>
      </c>
      <c r="C4">
        <v>8.25</v>
      </c>
      <c r="D4">
        <v>8.82</v>
      </c>
      <c r="E4">
        <v>8.84</v>
      </c>
    </row>
    <row r="5" spans="1:5" x14ac:dyDescent="0.25">
      <c r="B5">
        <v>6.94</v>
      </c>
      <c r="C5">
        <v>7.15</v>
      </c>
      <c r="D5">
        <v>7.34</v>
      </c>
      <c r="E5">
        <v>7.4</v>
      </c>
    </row>
    <row r="6" spans="1:5" x14ac:dyDescent="0.25">
      <c r="B6">
        <v>7</v>
      </c>
      <c r="C6">
        <v>7.23</v>
      </c>
      <c r="D6">
        <v>7.49</v>
      </c>
      <c r="E6">
        <v>7.59</v>
      </c>
    </row>
    <row r="7" spans="1:5" x14ac:dyDescent="0.25">
      <c r="B7">
        <v>7.39</v>
      </c>
      <c r="C7">
        <v>7.62</v>
      </c>
      <c r="D7">
        <v>8</v>
      </c>
      <c r="E7">
        <v>8.11</v>
      </c>
    </row>
    <row r="8" spans="1:5" x14ac:dyDescent="0.25">
      <c r="B8">
        <v>6.72</v>
      </c>
      <c r="C8">
        <v>6.95</v>
      </c>
      <c r="D8">
        <v>7.09</v>
      </c>
      <c r="E8">
        <v>7.11</v>
      </c>
    </row>
    <row r="9" spans="1:5" x14ac:dyDescent="0.25">
      <c r="B9">
        <v>6.68</v>
      </c>
      <c r="C9">
        <v>6.88</v>
      </c>
      <c r="D9">
        <v>7.03</v>
      </c>
      <c r="E9">
        <v>7.07</v>
      </c>
    </row>
    <row r="10" spans="1:5" x14ac:dyDescent="0.25">
      <c r="B10">
        <v>7.02</v>
      </c>
      <c r="C10">
        <v>7.24</v>
      </c>
      <c r="D10">
        <v>7.3</v>
      </c>
      <c r="E10">
        <v>7.52</v>
      </c>
    </row>
    <row r="11" spans="1:5" x14ac:dyDescent="0.25">
      <c r="B11">
        <v>6.68</v>
      </c>
      <c r="C11">
        <v>6.89</v>
      </c>
      <c r="D11">
        <v>7.02</v>
      </c>
      <c r="E11">
        <v>7.09</v>
      </c>
    </row>
    <row r="12" spans="1:5" x14ac:dyDescent="0.25">
      <c r="B12">
        <v>7.17</v>
      </c>
      <c r="C12">
        <v>7.39</v>
      </c>
      <c r="D12">
        <v>7.55</v>
      </c>
      <c r="E12">
        <v>7.8</v>
      </c>
    </row>
    <row r="13" spans="1:5" x14ac:dyDescent="0.25">
      <c r="B13">
        <v>7.46</v>
      </c>
      <c r="C13">
        <v>7.69</v>
      </c>
      <c r="D13">
        <v>8.09</v>
      </c>
      <c r="E13">
        <v>8.1999999999999993</v>
      </c>
    </row>
    <row r="15" spans="1:5" x14ac:dyDescent="0.25">
      <c r="A15" t="s">
        <v>5</v>
      </c>
      <c r="B15">
        <f>LARGE(B4:B13,1)</f>
        <v>8.0500000000000007</v>
      </c>
      <c r="C15">
        <f>LARGE(C4:C13,1)</f>
        <v>8.25</v>
      </c>
      <c r="D15">
        <f>LARGE(D4:D13,1)</f>
        <v>8.82</v>
      </c>
      <c r="E15">
        <f>LARGE(E4:E13,1)</f>
        <v>8.84</v>
      </c>
    </row>
    <row r="16" spans="1:5" x14ac:dyDescent="0.25">
      <c r="A16" t="s">
        <v>6</v>
      </c>
      <c r="B16">
        <f>SMALL(B4:B13,1)</f>
        <v>6.68</v>
      </c>
      <c r="C16">
        <f>SMALL(C4:C13,1)</f>
        <v>6.88</v>
      </c>
      <c r="D16">
        <f>SMALL(D4:D13,1)</f>
        <v>7.02</v>
      </c>
      <c r="E16">
        <f>SMALL(E4:E13,1)</f>
        <v>7.07</v>
      </c>
    </row>
    <row r="17" spans="1:5" x14ac:dyDescent="0.25">
      <c r="A17" t="s">
        <v>7</v>
      </c>
      <c r="B17">
        <f>AVERAGE(B4:B13)</f>
        <v>7.1109999999999998</v>
      </c>
      <c r="C17">
        <f>AVERAGE(C4:C13)</f>
        <v>7.3290000000000006</v>
      </c>
      <c r="D17">
        <f>AVERAGE(D4:D13)</f>
        <v>7.5729999999999986</v>
      </c>
      <c r="E17">
        <f>AVERAGE(E4:E13)</f>
        <v>7.673</v>
      </c>
    </row>
    <row r="18" spans="1:5" x14ac:dyDescent="0.25">
      <c r="A18" t="s">
        <v>13</v>
      </c>
      <c r="B18" s="2">
        <f>AVERAGE(B15:B16)</f>
        <v>7.3650000000000002</v>
      </c>
      <c r="C18" s="2">
        <f t="shared" ref="C18:E18" si="0">AVERAGE(C15:C16)</f>
        <v>7.5649999999999995</v>
      </c>
      <c r="D18" s="2">
        <f t="shared" si="0"/>
        <v>7.92</v>
      </c>
      <c r="E18" s="2">
        <f t="shared" si="0"/>
        <v>7.9550000000000001</v>
      </c>
    </row>
    <row r="19" spans="1:5" x14ac:dyDescent="0.25">
      <c r="A19" t="s">
        <v>14</v>
      </c>
      <c r="B19" s="2">
        <f>B15-B18</f>
        <v>0.6850000000000005</v>
      </c>
      <c r="C19" s="2">
        <f t="shared" ref="C19:E19" si="1">C15-C18</f>
        <v>0.6850000000000005</v>
      </c>
      <c r="D19" s="2">
        <f t="shared" si="1"/>
        <v>0.90000000000000036</v>
      </c>
      <c r="E19" s="2">
        <f t="shared" si="1"/>
        <v>0.88499999999999979</v>
      </c>
    </row>
    <row r="20" spans="1:5" x14ac:dyDescent="0.25">
      <c r="A20" t="s">
        <v>15</v>
      </c>
      <c r="B20" s="2">
        <f>B18-B16</f>
        <v>0.6850000000000005</v>
      </c>
      <c r="C20" s="2">
        <f t="shared" ref="C20:E20" si="2">C18-C16</f>
        <v>0.68499999999999961</v>
      </c>
      <c r="D20" s="2">
        <f t="shared" si="2"/>
        <v>0.90000000000000036</v>
      </c>
      <c r="E20" s="2">
        <f t="shared" si="2"/>
        <v>0.88499999999999979</v>
      </c>
    </row>
  </sheetData>
  <mergeCells count="3">
    <mergeCell ref="B1:E1"/>
    <mergeCell ref="B2:C2"/>
    <mergeCell ref="D2:E2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B18" sqref="B18:E20"/>
    </sheetView>
  </sheetViews>
  <sheetFormatPr defaultRowHeight="15" x14ac:dyDescent="0.25"/>
  <sheetData>
    <row r="1" spans="1:5" x14ac:dyDescent="0.25">
      <c r="B1" s="1" t="s">
        <v>10</v>
      </c>
      <c r="C1" s="1"/>
      <c r="D1" s="1"/>
      <c r="E1" s="1"/>
    </row>
    <row r="2" spans="1:5" x14ac:dyDescent="0.25">
      <c r="B2" s="1" t="s">
        <v>2</v>
      </c>
      <c r="C2" s="1"/>
      <c r="D2" s="1" t="s">
        <v>3</v>
      </c>
      <c r="E2" s="1"/>
    </row>
    <row r="3" spans="1:5" x14ac:dyDescent="0.25">
      <c r="B3" t="s">
        <v>0</v>
      </c>
      <c r="C3" t="s">
        <v>1</v>
      </c>
      <c r="D3" t="s">
        <v>0</v>
      </c>
      <c r="E3" t="s">
        <v>1</v>
      </c>
    </row>
    <row r="4" spans="1:5" x14ac:dyDescent="0.25">
      <c r="B4">
        <v>8.0500000000000007</v>
      </c>
      <c r="C4">
        <v>8.25</v>
      </c>
      <c r="D4">
        <v>8.7200000000000006</v>
      </c>
      <c r="E4">
        <v>8.74</v>
      </c>
    </row>
    <row r="5" spans="1:5" x14ac:dyDescent="0.25">
      <c r="B5">
        <v>6.94</v>
      </c>
      <c r="C5">
        <v>7.15</v>
      </c>
      <c r="D5">
        <v>7.29</v>
      </c>
      <c r="E5">
        <v>7.34</v>
      </c>
    </row>
    <row r="6" spans="1:5" x14ac:dyDescent="0.25">
      <c r="B6">
        <v>7</v>
      </c>
      <c r="C6">
        <v>7.23</v>
      </c>
      <c r="D6">
        <v>7.43</v>
      </c>
      <c r="E6">
        <v>7.52</v>
      </c>
    </row>
    <row r="7" spans="1:5" x14ac:dyDescent="0.25">
      <c r="B7">
        <v>7.39</v>
      </c>
      <c r="C7">
        <v>7.61</v>
      </c>
      <c r="D7">
        <v>7.92</v>
      </c>
      <c r="E7">
        <v>8.01</v>
      </c>
    </row>
    <row r="8" spans="1:5" x14ac:dyDescent="0.25">
      <c r="B8">
        <v>6.72</v>
      </c>
      <c r="C8">
        <v>6.95</v>
      </c>
      <c r="D8">
        <v>7.04</v>
      </c>
      <c r="E8">
        <v>7.06</v>
      </c>
    </row>
    <row r="9" spans="1:5" x14ac:dyDescent="0.25">
      <c r="B9">
        <v>6.68</v>
      </c>
      <c r="C9">
        <v>6.88</v>
      </c>
      <c r="D9">
        <v>6.98</v>
      </c>
      <c r="E9">
        <v>7.02</v>
      </c>
    </row>
    <row r="10" spans="1:5" x14ac:dyDescent="0.25">
      <c r="B10">
        <v>7.02</v>
      </c>
      <c r="C10">
        <v>7.24</v>
      </c>
      <c r="D10">
        <v>7.27</v>
      </c>
      <c r="E10">
        <v>7.45</v>
      </c>
    </row>
    <row r="11" spans="1:5" x14ac:dyDescent="0.25">
      <c r="B11">
        <v>6.68</v>
      </c>
      <c r="C11">
        <v>6.89</v>
      </c>
      <c r="D11">
        <v>6.98</v>
      </c>
      <c r="E11">
        <v>7.04</v>
      </c>
    </row>
    <row r="12" spans="1:5" x14ac:dyDescent="0.25">
      <c r="B12">
        <v>7.17</v>
      </c>
      <c r="C12">
        <v>7.39</v>
      </c>
      <c r="D12">
        <v>7.51</v>
      </c>
      <c r="E12">
        <v>7.71</v>
      </c>
    </row>
    <row r="13" spans="1:5" x14ac:dyDescent="0.25">
      <c r="B13">
        <v>7.46</v>
      </c>
      <c r="C13">
        <v>7.69</v>
      </c>
      <c r="D13">
        <v>8.01</v>
      </c>
      <c r="E13">
        <v>8.1</v>
      </c>
    </row>
    <row r="15" spans="1:5" x14ac:dyDescent="0.25">
      <c r="A15" t="s">
        <v>5</v>
      </c>
      <c r="B15">
        <f>LARGE(B4:B13,1)</f>
        <v>8.0500000000000007</v>
      </c>
      <c r="C15">
        <f>LARGE(C4:C13,1)</f>
        <v>8.25</v>
      </c>
      <c r="D15">
        <f>LARGE(D4:D13,1)</f>
        <v>8.7200000000000006</v>
      </c>
      <c r="E15">
        <f>LARGE(E4:E13,1)</f>
        <v>8.74</v>
      </c>
    </row>
    <row r="16" spans="1:5" x14ac:dyDescent="0.25">
      <c r="A16" t="s">
        <v>6</v>
      </c>
      <c r="B16">
        <f>SMALL(B4:B13,1)</f>
        <v>6.68</v>
      </c>
      <c r="C16">
        <f>SMALL(C4:C13,1)</f>
        <v>6.88</v>
      </c>
      <c r="D16">
        <f>SMALL(D4:D13,1)</f>
        <v>6.98</v>
      </c>
      <c r="E16">
        <f>SMALL(E4:E13,1)</f>
        <v>7.02</v>
      </c>
    </row>
    <row r="17" spans="1:5" x14ac:dyDescent="0.25">
      <c r="A17" t="s">
        <v>7</v>
      </c>
      <c r="B17">
        <f>AVERAGE(B4:B13)</f>
        <v>7.1109999999999998</v>
      </c>
      <c r="C17">
        <f>AVERAGE(C4:C13)</f>
        <v>7.3280000000000003</v>
      </c>
      <c r="D17">
        <f>AVERAGE(D4:D13)</f>
        <v>7.5150000000000006</v>
      </c>
      <c r="E17">
        <f>AVERAGE(E4:E13)</f>
        <v>7.5989999999999993</v>
      </c>
    </row>
    <row r="18" spans="1:5" x14ac:dyDescent="0.25">
      <c r="A18" t="s">
        <v>13</v>
      </c>
      <c r="B18" s="2">
        <f>AVERAGE(B15:B16)</f>
        <v>7.3650000000000002</v>
      </c>
      <c r="C18" s="2">
        <f t="shared" ref="C18:E18" si="0">AVERAGE(C15:C16)</f>
        <v>7.5649999999999995</v>
      </c>
      <c r="D18" s="2">
        <f t="shared" si="0"/>
        <v>7.8500000000000005</v>
      </c>
      <c r="E18" s="2">
        <f t="shared" si="0"/>
        <v>7.88</v>
      </c>
    </row>
    <row r="19" spans="1:5" x14ac:dyDescent="0.25">
      <c r="A19" t="s">
        <v>14</v>
      </c>
      <c r="B19" s="2">
        <f>B15-B18</f>
        <v>0.6850000000000005</v>
      </c>
      <c r="C19" s="2">
        <f t="shared" ref="C19:E19" si="1">C15-C18</f>
        <v>0.6850000000000005</v>
      </c>
      <c r="D19" s="2">
        <f t="shared" si="1"/>
        <v>0.87000000000000011</v>
      </c>
      <c r="E19" s="2">
        <f t="shared" si="1"/>
        <v>0.86000000000000032</v>
      </c>
    </row>
    <row r="20" spans="1:5" x14ac:dyDescent="0.25">
      <c r="A20" t="s">
        <v>15</v>
      </c>
      <c r="B20" s="2">
        <f>B18-B16</f>
        <v>0.6850000000000005</v>
      </c>
      <c r="C20" s="2">
        <f t="shared" ref="C20:E20" si="2">C18-C16</f>
        <v>0.68499999999999961</v>
      </c>
      <c r="D20" s="2">
        <f t="shared" si="2"/>
        <v>0.87000000000000011</v>
      </c>
      <c r="E20" s="2">
        <f t="shared" si="2"/>
        <v>0.86000000000000032</v>
      </c>
    </row>
  </sheetData>
  <mergeCells count="3">
    <mergeCell ref="B1:E1"/>
    <mergeCell ref="B2:C2"/>
    <mergeCell ref="D2:E2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workbookViewId="0">
      <selection activeCell="B18" sqref="B18:E20"/>
    </sheetView>
  </sheetViews>
  <sheetFormatPr defaultRowHeight="15" x14ac:dyDescent="0.25"/>
  <sheetData>
    <row r="1" spans="1:5" x14ac:dyDescent="0.25">
      <c r="B1" s="1" t="s">
        <v>9</v>
      </c>
      <c r="C1" s="1"/>
      <c r="D1" s="1"/>
      <c r="E1" s="1"/>
    </row>
    <row r="2" spans="1:5" x14ac:dyDescent="0.25">
      <c r="B2" s="1" t="s">
        <v>2</v>
      </c>
      <c r="C2" s="1"/>
      <c r="D2" s="1" t="s">
        <v>3</v>
      </c>
      <c r="E2" s="1"/>
    </row>
    <row r="3" spans="1:5" x14ac:dyDescent="0.25">
      <c r="B3" t="s">
        <v>0</v>
      </c>
      <c r="C3" t="s">
        <v>1</v>
      </c>
      <c r="D3" t="s">
        <v>0</v>
      </c>
      <c r="E3" t="s">
        <v>1</v>
      </c>
    </row>
    <row r="4" spans="1:5" x14ac:dyDescent="0.25">
      <c r="B4">
        <v>8.0500000000000007</v>
      </c>
      <c r="C4">
        <v>8.25</v>
      </c>
      <c r="D4">
        <v>8.65</v>
      </c>
      <c r="E4">
        <v>8.66</v>
      </c>
    </row>
    <row r="5" spans="1:5" x14ac:dyDescent="0.25">
      <c r="B5">
        <v>6.94</v>
      </c>
      <c r="C5">
        <v>7.15</v>
      </c>
      <c r="D5">
        <v>7.26</v>
      </c>
      <c r="E5">
        <v>7.3</v>
      </c>
    </row>
    <row r="6" spans="1:5" x14ac:dyDescent="0.25">
      <c r="B6">
        <v>7</v>
      </c>
      <c r="C6">
        <v>7.23</v>
      </c>
      <c r="D6">
        <v>7.39</v>
      </c>
      <c r="E6">
        <v>7.46</v>
      </c>
    </row>
    <row r="7" spans="1:5" x14ac:dyDescent="0.25">
      <c r="B7">
        <v>7.39</v>
      </c>
      <c r="C7">
        <v>7.61</v>
      </c>
      <c r="D7">
        <v>7.86</v>
      </c>
      <c r="E7">
        <v>7.94</v>
      </c>
    </row>
    <row r="8" spans="1:5" x14ac:dyDescent="0.25">
      <c r="B8">
        <v>6.72</v>
      </c>
      <c r="C8">
        <v>6.95</v>
      </c>
      <c r="D8">
        <v>7</v>
      </c>
      <c r="E8">
        <v>7.02</v>
      </c>
    </row>
    <row r="9" spans="1:5" x14ac:dyDescent="0.25">
      <c r="B9">
        <v>6.68</v>
      </c>
      <c r="C9">
        <v>6.88</v>
      </c>
      <c r="D9">
        <v>6.95</v>
      </c>
      <c r="E9">
        <v>6.98</v>
      </c>
    </row>
    <row r="10" spans="1:5" x14ac:dyDescent="0.25">
      <c r="B10">
        <v>7.02</v>
      </c>
      <c r="C10">
        <v>7.24</v>
      </c>
      <c r="D10">
        <v>7.26</v>
      </c>
      <c r="E10">
        <v>7.4</v>
      </c>
    </row>
    <row r="11" spans="1:5" x14ac:dyDescent="0.25">
      <c r="B11">
        <v>6.68</v>
      </c>
      <c r="C11">
        <v>6.89</v>
      </c>
      <c r="D11">
        <v>6.94</v>
      </c>
      <c r="E11">
        <v>7</v>
      </c>
    </row>
    <row r="12" spans="1:5" x14ac:dyDescent="0.25">
      <c r="B12">
        <v>7.17</v>
      </c>
      <c r="C12">
        <v>7.39</v>
      </c>
      <c r="D12">
        <v>7.48</v>
      </c>
      <c r="E12">
        <v>7.65</v>
      </c>
    </row>
    <row r="13" spans="1:5" x14ac:dyDescent="0.25">
      <c r="B13">
        <v>7.46</v>
      </c>
      <c r="C13">
        <v>7.69</v>
      </c>
      <c r="D13">
        <v>7.96</v>
      </c>
      <c r="E13">
        <v>8.4</v>
      </c>
    </row>
    <row r="15" spans="1:5" x14ac:dyDescent="0.25">
      <c r="A15" t="s">
        <v>5</v>
      </c>
      <c r="B15">
        <f>LARGE(B4:B13,1)</f>
        <v>8.0500000000000007</v>
      </c>
      <c r="C15">
        <f>LARGE(C4:C13,1)</f>
        <v>8.25</v>
      </c>
      <c r="D15">
        <f>LARGE(D4:D13,1)</f>
        <v>8.65</v>
      </c>
      <c r="E15">
        <f>LARGE(E4:E13,1)</f>
        <v>8.66</v>
      </c>
    </row>
    <row r="16" spans="1:5" x14ac:dyDescent="0.25">
      <c r="A16" t="s">
        <v>6</v>
      </c>
      <c r="B16">
        <f>SMALL(B4:B13,1)</f>
        <v>6.68</v>
      </c>
      <c r="C16">
        <f>SMALL(C4:C13,1)</f>
        <v>6.88</v>
      </c>
      <c r="D16">
        <f>SMALL(D4:D13,1)</f>
        <v>6.94</v>
      </c>
      <c r="E16">
        <f>SMALL(E4:E13,1)</f>
        <v>6.98</v>
      </c>
    </row>
    <row r="17" spans="1:5" x14ac:dyDescent="0.25">
      <c r="A17" t="s">
        <v>7</v>
      </c>
      <c r="B17">
        <f>AVERAGE(B4:B13)</f>
        <v>7.1109999999999998</v>
      </c>
      <c r="C17">
        <f>AVERAGE(C4:C13)</f>
        <v>7.3280000000000003</v>
      </c>
      <c r="D17">
        <f>AVERAGE(D4:D13)</f>
        <v>7.4749999999999988</v>
      </c>
      <c r="E17">
        <f>AVERAGE(E4:E13)</f>
        <v>7.5810000000000004</v>
      </c>
    </row>
    <row r="18" spans="1:5" x14ac:dyDescent="0.25">
      <c r="A18" t="s">
        <v>13</v>
      </c>
      <c r="B18" s="2">
        <f>AVERAGE(B15:B16)</f>
        <v>7.3650000000000002</v>
      </c>
      <c r="C18" s="2">
        <f t="shared" ref="C18:E18" si="0">AVERAGE(C15:C16)</f>
        <v>7.5649999999999995</v>
      </c>
      <c r="D18" s="2">
        <f t="shared" si="0"/>
        <v>7.7949999999999999</v>
      </c>
      <c r="E18" s="2">
        <f t="shared" si="0"/>
        <v>7.82</v>
      </c>
    </row>
    <row r="19" spans="1:5" x14ac:dyDescent="0.25">
      <c r="A19" t="s">
        <v>14</v>
      </c>
      <c r="B19" s="2">
        <f>B15-B18</f>
        <v>0.6850000000000005</v>
      </c>
      <c r="C19" s="2">
        <f t="shared" ref="C19:E19" si="1">C15-C18</f>
        <v>0.6850000000000005</v>
      </c>
      <c r="D19" s="2">
        <f t="shared" si="1"/>
        <v>0.85500000000000043</v>
      </c>
      <c r="E19" s="2">
        <f t="shared" si="1"/>
        <v>0.83999999999999986</v>
      </c>
    </row>
    <row r="20" spans="1:5" x14ac:dyDescent="0.25">
      <c r="A20" t="s">
        <v>15</v>
      </c>
      <c r="B20" s="2">
        <f>B18-B16</f>
        <v>0.6850000000000005</v>
      </c>
      <c r="C20" s="2">
        <f t="shared" ref="C20:E20" si="2">C18-C16</f>
        <v>0.68499999999999961</v>
      </c>
      <c r="D20" s="2">
        <f t="shared" si="2"/>
        <v>0.85499999999999954</v>
      </c>
      <c r="E20" s="2">
        <f t="shared" si="2"/>
        <v>0.83999999999999986</v>
      </c>
    </row>
  </sheetData>
  <mergeCells count="3">
    <mergeCell ref="B1:E1"/>
    <mergeCell ref="B2:C2"/>
    <mergeCell ref="D2:E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3</vt:lpstr>
      <vt:lpstr>5</vt:lpstr>
      <vt:lpstr>7</vt:lpstr>
      <vt:lpstr>9</vt:lpstr>
      <vt:lpstr>11</vt:lpstr>
      <vt:lpstr>13</vt:lpstr>
      <vt:lpstr>15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Paschoalin</dc:creator>
  <cp:lastModifiedBy>Thiago Paschoalin</cp:lastModifiedBy>
  <dcterms:created xsi:type="dcterms:W3CDTF">2025-07-09T19:41:02Z</dcterms:created>
  <dcterms:modified xsi:type="dcterms:W3CDTF">2025-07-13T13:53:52Z</dcterms:modified>
</cp:coreProperties>
</file>